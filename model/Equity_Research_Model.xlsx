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b219e1983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67c9728ad6493f"/>
    <x:sheet xmlns:r="http://schemas.openxmlformats.org/officeDocument/2006/relationships" name="Inputs" sheetId="2" r:id="Rc5c7d7c95a4d4903"/>
    <x:sheet xmlns:r="http://schemas.openxmlformats.org/officeDocument/2006/relationships" name="Operating Build" sheetId="3" r:id="R2bca01d2e62d4b67"/>
    <x:sheet xmlns:r="http://schemas.openxmlformats.org/officeDocument/2006/relationships" name="Forecast" sheetId="4" r:id="Rc8921e9a92294abf"/>
    <x:sheet xmlns:r="http://schemas.openxmlformats.org/officeDocument/2006/relationships" name="Cash Equity Bridge" sheetId="5" r:id="R6bae110cf59a4ae9"/>
    <x:sheet xmlns:r="http://schemas.openxmlformats.org/officeDocument/2006/relationships" name="DCF" sheetId="6" r:id="R436a88dba67c4b30"/>
    <x:sheet xmlns:r="http://schemas.openxmlformats.org/officeDocument/2006/relationships" name="RIM" sheetId="7" r:id="Re6206b09f6ae4fb2"/>
    <x:sheet xmlns:r="http://schemas.openxmlformats.org/officeDocument/2006/relationships" name="PER" sheetId="8" r:id="R75154b78ddfd442f"/>
    <x:sheet xmlns:r="http://schemas.openxmlformats.org/officeDocument/2006/relationships" name="Diagnostics" sheetId="9" r:id="Ra278f68ca4a14c40"/>
    <x:sheet xmlns:r="http://schemas.openxmlformats.org/officeDocument/2006/relationships" name="Special Cases" sheetId="10" r:id="Rab3160832ded4698"/>
    <x:sheet xmlns:r="http://schemas.openxmlformats.org/officeDocument/2006/relationships" name="Peer Data" sheetId="11" r:id="Rf1857c7eb2a24dd8"/>
    <x:sheet xmlns:r="http://schemas.openxmlformats.org/officeDocument/2006/relationships" name="Actuals Sources" sheetId="12" r:id="R612c28fe60ee41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;(#,##0.0);&quot;-&quot;"/>
    <x:numFmt numFmtId="201" formatCode="0.0%"/>
    <x:numFmt numFmtId="202" formatCode="0.000000"/>
    <x:numFmt numFmtId="203" formatCode="#,##0"/>
    <x:numFmt numFmtId="204" formatCode="0"/>
    <x:numFmt numFmtId="205" formatCode="0.00"/>
  </x:numFmts>
  <x:fonts count="7">
    <x:font>
      <x:sz val="11"/>
      <x:name val="Carlito"/>
    </x:font>
    <x:font>
      <x:sz val="10"/>
      <x:color rgb="FF1B2535"/>
      <x:name val="NanumGothic"/>
    </x:font>
    <x:font>
      <x:b/>
      <x:sz val="15"/>
      <x:color rgb="FF175E68"/>
      <x:name val="NanumGothic"/>
    </x:font>
    <x:font>
      <x:sz val="10"/>
      <x:color rgb="FF127443"/>
      <x:name val="NanumGothic"/>
    </x:font>
    <x:font>
      <x:sz val="10"/>
      <x:color rgb="FF174FA8"/>
      <x:name val="NanumGothic"/>
    </x:font>
    <x:font>
      <x:b/>
      <x:sz val="10"/>
      <x:color rgb="FFFFFFFF"/>
      <x:name val="NanumGothic"/>
    </x:font>
    <x:font>
      <x:b/>
      <x:sz val="14"/>
      <x:color rgb="FF1B2535"/>
      <x:name val="Nanum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5E6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4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202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200" fontId="5" fillId="2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3" fontId="6" fillId="0" borderId="0" xfId="0" applyNumberFormat="1" applyFont="1" applyFill="1" applyBorder="1"/>
    <x:xf numFmtId="200" fontId="4" fillId="2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4" fontId="5" fillId="2" borderId="0" xfId="0" applyNumberFormat="1" applyFont="1" applyFill="1" applyBorder="1"/>
    <x:xf numFmtId="204" fontId="5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/>
    <x:xf numFmtId="205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4c999ce1464c47" /><Relationship Type="http://schemas.openxmlformats.org/officeDocument/2006/relationships/theme" Target="/xl/theme/theme1.xml" Id="R349f386a3a094d35" /><Relationship Type="http://schemas.openxmlformats.org/officeDocument/2006/relationships/sharedStrings" Target="/xl/sharedStrings.xml" Id="Rcfdbb2e35cd24add" /><Relationship Type="http://schemas.openxmlformats.org/officeDocument/2006/relationships/worksheet" Target="/xl/worksheets/sheet1.xml" Id="R1b67c9728ad6493f" /><Relationship Type="http://schemas.openxmlformats.org/officeDocument/2006/relationships/worksheet" Target="/xl/worksheets/sheet2.xml" Id="Rc5c7d7c95a4d4903" /><Relationship Type="http://schemas.openxmlformats.org/officeDocument/2006/relationships/worksheet" Target="/xl/worksheets/sheet3.xml" Id="R2bca01d2e62d4b67" /><Relationship Type="http://schemas.openxmlformats.org/officeDocument/2006/relationships/worksheet" Target="/xl/worksheets/sheet4.xml" Id="Rc8921e9a92294abf" /><Relationship Type="http://schemas.openxmlformats.org/officeDocument/2006/relationships/worksheet" Target="/xl/worksheets/sheet5.xml" Id="R6bae110cf59a4ae9" /><Relationship Type="http://schemas.openxmlformats.org/officeDocument/2006/relationships/worksheet" Target="/xl/worksheets/sheet6.xml" Id="R436a88dba67c4b30" /><Relationship Type="http://schemas.openxmlformats.org/officeDocument/2006/relationships/worksheet" Target="/xl/worksheets/sheet7.xml" Id="Re6206b09f6ae4fb2" /><Relationship Type="http://schemas.openxmlformats.org/officeDocument/2006/relationships/worksheet" Target="/xl/worksheets/sheet8.xml" Id="R75154b78ddfd442f" /><Relationship Type="http://schemas.openxmlformats.org/officeDocument/2006/relationships/worksheet" Target="/xl/worksheets/sheet9.xml" Id="Ra278f68ca4a14c40" /><Relationship Type="http://schemas.openxmlformats.org/officeDocument/2006/relationships/worksheet" Target="/xl/worksheets/sheet10.xml" Id="Rab3160832ded4698" /><Relationship Type="http://schemas.openxmlformats.org/officeDocument/2006/relationships/worksheet" Target="/xl/worksheets/sheet11.xml" Id="Rf1857c7eb2a24dd8" /><Relationship Type="http://schemas.openxmlformats.org/officeDocument/2006/relationships/worksheet" Target="/xl/worksheets/sheet12.xml" Id="R612c28fe60ee41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5E6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리노공업 Equity Research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7" customHeight="1">
      <x:c r="A7" s="1"/>
      <x:c r="B7" s="1"/>
      <x:c r="C7" s="17" t="str">
        <x:v>Method</x:v>
      </x:c>
      <x:c r="D7" s="17" t="str">
        <x:v>KRW / share</x:v>
      </x:c>
      <x:c r="E7" s="17" t="str">
        <x:v>Role</x:v>
      </x:c>
      <x:c r="F7" s="1"/>
      <x:c r="G7" s="1"/>
      <x:c r="H7" s="1"/>
      <x:c r="I7" s="1"/>
      <x:c r="J7" s="1"/>
      <x:c r="K7" s="1"/>
      <x:c r="L7" s="1"/>
    </x:row>
    <x:row r="8" ht="22" customHeight="1">
      <x:c r="A8" s="1"/>
      <x:c r="B8" s="1"/>
      <x:c r="C8" s="1" t="str">
        <x:v>DCF</x:v>
      </x:c>
      <x:c r="D8" s="21" t="n">
        <x:f>DCF!D26</x:f>
        <x:v>43418.78801138881</x:v>
      </x:c>
      <x:c r="E8" s="4" t="str">
        <x:v>2026 year-end scenario</x:v>
      </x:c>
      <x:c r="F8" s="4"/>
      <x:c r="G8" s="4"/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Normalized PER</x:v>
      </x:c>
      <x:c r="D9" s="21" t="n">
        <x:f>PER!D39</x:f>
        <x:v>33445.017346969136</x:v>
      </x:c>
      <x:c r="E9" s="4" t="str">
        <x:v>Fundamental multiple</x:v>
      </x:c>
      <x:c r="F9" s="4"/>
      <x:c r="G9" s="4"/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RIM</x:v>
      </x:c>
      <x:c r="D10" s="21" t="n">
        <x:f>RIM!D24</x:f>
        <x:v>21344.492019551373</x:v>
      </x:c>
      <x:c r="E10" s="4" t="str">
        <x:v>Excess return duration</x:v>
      </x:c>
      <x:c r="F10" s="4"/>
      <x:c r="G10" s="4"/>
      <x:c r="H10" s="4"/>
      <x:c r="I10" s="4"/>
      <x:c r="J10" s="1"/>
      <x:c r="K10" s="1"/>
      <x:c r="L10" s="1"/>
    </x:row>
    <x:row r="11" ht="22" customHeight="1">
      <x:c r="A11" s="1"/>
      <x:c r="B11" s="1"/>
      <x:c r="C11" s="1"/>
      <x:c r="D11" s="4"/>
      <x:c r="E11" s="4"/>
      <x:c r="F11" s="4"/>
      <x:c r="G11" s="4"/>
      <x:c r="H11" s="4"/>
      <x:c r="I11" s="4"/>
      <x:c r="J11" s="1"/>
      <x:c r="K11" s="1"/>
      <x:c r="L11" s="1"/>
    </x:row>
    <x:row r="12" ht="22" customHeight="1">
      <x:c r="A12" s="1"/>
      <x:c r="B12" s="1"/>
      <x:c r="C12" s="1"/>
      <x:c r="D12" s="4"/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Valuation date</x:v>
      </x:c>
      <x:c r="D13" s="4" t="str">
        <x:v>2026-12-31E</x:v>
      </x:c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Financial statements</x:v>
      </x:c>
      <x:c r="D14" s="4" t="str">
        <x:v>2026-06-30A</x:v>
      </x:c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Report version</x:v>
      </x:c>
      <x:c r="D15" s="4" t="str">
        <x:v>2026-10-19 v1</x:v>
      </x:c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Reference price date</x:v>
      </x:c>
      <x:c r="D16" s="4" t="str">
        <x:v>2026-10-16 NAVER</x:v>
      </x:c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Reference close KRW</x:v>
      </x:c>
      <x:c r="D17" s="10" t="n">
        <x:f>Inputs!$D$24</x:f>
        <x:v>70900</x:v>
      </x:c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DCF / reference close - 1</x:v>
      </x:c>
      <x:c r="D18" s="5" t="n">
        <x:f>D8/D17-1</x:f>
        <x:v>-0.38760524666588425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RIM / DDM difference</x:v>
      </x:c>
      <x:c r="D19" s="10" t="n">
        <x:f>RIM!D25</x:f>
        <x:v>0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/>
      <x:c r="D20" s="4"/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All forecast inputs are editable in Inputs.</x:v>
      </x:c>
      <x:c r="D21" s="4"/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/>
      <x:c r="D22" s="4"/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KRW bn. Share count is in millions.</x:v>
      </x:c>
      <x:c r="D23" s="4"/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/>
      <x:c r="D24" s="4"/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Naver reference price; exchange close not reconciled.</x:v>
      </x:c>
      <x:c r="D25" s="4"/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893A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Inputs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 t="str">
        <x:v>Case selected</x:v>
      </x:c>
      <x:c r="D3" s="1" t="str">
        <x:v>Base</x:v>
      </x:c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v>One control in D3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7" customHeight="1">
      <x:c r="A8" s="1"/>
      <x:c r="B8" s="1"/>
      <x:c r="C8" s="17" t="str">
        <x:v>Input</x:v>
      </x:c>
      <x:c r="D8" s="18" t="str">
        <x:v>Active</x:v>
      </x:c>
      <x:c r="E8" s="18" t="str">
        <x:v>Bear</x:v>
      </x:c>
      <x:c r="F8" s="18" t="str">
        <x:v>Base</x:v>
      </x:c>
      <x:c r="G8" s="18" t="str">
        <x:v>Bull</x:v>
      </x:c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wacc</x:v>
      </x:c>
      <x:c r="D9" s="5" t="n">
        <x:f>IF($D$3="Bear",IF(ISNUMBER(E9),E9,"MISSING"),IF($D$3="Bull",IF(ISNUMBER(G9),G9,"MISSING"),IF(ISNUMBER(F9),F9,"MISSING")))</x:f>
        <x:v>0.105</x:v>
      </x:c>
      <x:c r="E9" s="6" t="n">
        <x:v>0.115</x:v>
      </x:c>
      <x:c r="F9" s="6" t="n">
        <x:v>0.105</x:v>
      </x:c>
      <x:c r="G9" s="6" t="n">
        <x:v>0.095</x:v>
      </x:c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ke</x:v>
      </x:c>
      <x:c r="D10" s="5" t="n">
        <x:f>IF($D$3="Bear",IF(ISNUMBER(E10),E10,"MISSING"),IF($D$3="Bull",IF(ISNUMBER(G10),G10,"MISSING"),IF(ISNUMBER(F10),F10,"MISSING")))</x:f>
        <x:v>0.105</x:v>
      </x:c>
      <x:c r="E10" s="6" t="n">
        <x:v>0.115</x:v>
      </x:c>
      <x:c r="F10" s="6" t="n">
        <x:v>0.105</x:v>
      </x:c>
      <x:c r="G10" s="6" t="n">
        <x:v>0.095</x:v>
      </x:c>
      <x:c r="H10" s="4"/>
      <x:c r="I10" s="4"/>
      <x:c r="J10" s="1"/>
      <x:c r="K10" s="1"/>
      <x:c r="L10" s="1"/>
    </x:row>
    <x:row r="11" ht="22" customHeight="1">
      <x:c r="A11" s="1"/>
      <x:c r="B11" s="1"/>
      <x:c r="C11" s="1" t="str">
        <x:v>g</x:v>
      </x:c>
      <x:c r="D11" s="5" t="n">
        <x:f>IF($D$3="Bear",IF(ISNUMBER(E11),E11,"MISSING"),IF($D$3="Bull",IF(ISNUMBER(G11),G11,"MISSING"),IF(ISNUMBER(F11),F11,"MISSING")))</x:f>
        <x:v>0.025</x:v>
      </x:c>
      <x:c r="E11" s="6" t="n">
        <x:v>0.02</x:v>
      </x:c>
      <x:c r="F11" s="6" t="n">
        <x:v>0.025</x:v>
      </x:c>
      <x:c r="G11" s="6" t="n">
        <x:v>0.025</x:v>
      </x:c>
      <x:c r="H11" s="4"/>
      <x:c r="I11" s="4"/>
      <x:c r="J11" s="1"/>
      <x:c r="K11" s="1"/>
      <x:c r="L11" s="1"/>
    </x:row>
    <x:row r="12" ht="22" customHeight="1">
      <x:c r="A12" s="1"/>
      <x:c r="B12" s="1"/>
      <x:c r="C12" s="1" t="str">
        <x:v>roic</x:v>
      </x:c>
      <x:c r="D12" s="5" t="n">
        <x:f>IF($D$3="Bear",IF(ISNUMBER(E12),E12,"MISSING"),IF($D$3="Bull",IF(ISNUMBER(G12),G12,"MISSING"),IF(ISNUMBER(F12),F12,"MISSING")))</x:f>
        <x:v>0.15</x:v>
      </x:c>
      <x:c r="E12" s="6" t="n">
        <x:v>0.115</x:v>
      </x:c>
      <x:c r="F12" s="6" t="n">
        <x:v>0.15</x:v>
      </x:c>
      <x:c r="G12" s="6" t="n">
        <x:v>0.17</x:v>
      </x:c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roe</x:v>
      </x:c>
      <x:c r="D13" s="5" t="n">
        <x:f>IF($D$3="Bear",IF(ISNUMBER(E13),E13,"MISSING"),IF($D$3="Bull",IF(ISNUMBER(G13),G13,"MISSING"),IF(ISNUMBER(F13),F13,"MISSING")))</x:f>
        <x:v>0.12</x:v>
      </x:c>
      <x:c r="E13" s="6" t="n">
        <x:v>0.1</x:v>
      </x:c>
      <x:c r="F13" s="6" t="n">
        <x:v>0.12</x:v>
      </x:c>
      <x:c r="G13" s="6" t="n">
        <x:v>0.14</x:v>
      </x:c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payout</x:v>
      </x:c>
      <x:c r="D14" s="5" t="n">
        <x:f>IF($D$3="Bear",IF(ISNUMBER(E14),E14,"MISSING"),IF($D$3="Bull",IF(ISNUMBER(G14),G14,"MISSING"),IF(ISNUMBER(F14),F14,"MISSING")))</x:f>
        <x:v>0.4</x:v>
      </x:c>
      <x:c r="E14" s="6" t="n">
        <x:v>0.4</x:v>
      </x:c>
      <x:c r="F14" s="6" t="n">
        <x:v>0.4</x:v>
      </x:c>
      <x:c r="G14" s="6" t="n">
        <x:v>0.4</x:v>
      </x:c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pergrowth</x:v>
      </x:c>
      <x:c r="D15" s="5" t="n">
        <x:f>IF($D$3="Bear",IF(ISNUMBER(E15),E15,"MISSING"),IF($D$3="Bull",IF(ISNUMBER(G15),G15,"MISSING"),IF(ISNUMBER(F15),F15,"MISSING")))</x:f>
        <x:v>0.12</x:v>
      </x:c>
      <x:c r="E15" s="6" t="n">
        <x:v>0.08</x:v>
      </x:c>
      <x:c r="F15" s="6" t="n">
        <x:v>0.12</x:v>
      </x:c>
      <x:c r="G15" s="6" t="n">
        <x:v>0.16</x:v>
      </x:c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perroe</x:v>
      </x:c>
      <x:c r="D16" s="5" t="n">
        <x:f>IF($D$3="Bear",IF(ISNUMBER(E16),E16,"MISSING"),IF($D$3="Bull",IF(ISNUMBER(G16),G16,"MISSING"),IF(ISNUMBER(F16),F16,"MISSING")))</x:f>
        <x:v>0.3</x:v>
      </x:c>
      <x:c r="E16" s="6" t="n">
        <x:v>0.22</x:v>
      </x:c>
      <x:c r="F16" s="6" t="n">
        <x:v>0.3</x:v>
      </x:c>
      <x:c r="G16" s="6" t="n">
        <x:v>0.35</x:v>
      </x:c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permargin</x:v>
      </x:c>
      <x:c r="D17" s="5" t="n">
        <x:f>IF($D$3="Bear",IF(ISNUMBER(E17),E17,"MISSING"),IF($D$3="Bull",IF(ISNUMBER(G17),G17,"MISSING"),IF(ISNUMBER(F17),F17,"MISSING")))</x:f>
        <x:v>0.45</x:v>
      </x:c>
      <x:c r="E17" s="6" t="n">
        <x:v>0.43</x:v>
      </x:c>
      <x:c r="F17" s="6" t="n">
        <x:v>0.45</x:v>
      </x:c>
      <x:c r="G17" s="6" t="n">
        <x:v>0.48</x:v>
      </x:c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tax</x:v>
      </x:c>
      <x:c r="D18" s="5" t="n">
        <x:f>IF($D$3="Bear",IF(ISNUMBER(E18),E18,"MISSING"),IF($D$3="Bull",IF(ISNUMBER(G18),G18,"MISSING"),IF(ISNUMBER(F18),F18,"MISSING")))</x:f>
        <x:v>0.24</x:v>
      </x:c>
      <x:c r="E18" s="6" t="n">
        <x:v>0.24</x:v>
      </x:c>
      <x:c r="F18" s="6" t="n">
        <x:v>0.24</x:v>
      </x:c>
      <x:c r="G18" s="6" t="n">
        <x:v>0.24</x:v>
      </x:c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interest</x:v>
      </x:c>
      <x:c r="D19" s="5" t="n">
        <x:f>IF($D$3="Bear",IF(ISNUMBER(E19),E19,"MISSING"),IF($D$3="Bull",IF(ISNUMBER(G19),G19,"MISSING"),IF(ISNUMBER(F19),F19,"MISSING")))</x:f>
        <x:v>0.018</x:v>
      </x:c>
      <x:c r="E19" s="6" t="n">
        <x:v>0.018</x:v>
      </x:c>
      <x:c r="F19" s="6" t="n">
        <x:v>0.018</x:v>
      </x:c>
      <x:c r="G19" s="6" t="n">
        <x:v>0.018</x:v>
      </x:c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h2div</x:v>
      </x:c>
      <x:c r="D20" s="4" t="n">
        <x:f>IF($D$3="Bear",IF(ISNUMBER(E20),E20,"MISSING"),IF($D$3="Bull",IF(ISNUMBER(G20),G20,"MISSING"),IF(ISNUMBER(F20),F20,"MISSING")))</x:f>
        <x:v>0</x:v>
      </x:c>
      <x:c r="E20" s="7" t="n">
        <x:v>0</x:v>
      </x:c>
      <x:c r="F20" s="7" t="n">
        <x:v>0</x:v>
      </x:c>
      <x:c r="G20" s="7" t="n">
        <x:v>0</x:v>
      </x:c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h2buyback</x:v>
      </x:c>
      <x:c r="D21" s="4" t="n">
        <x:f>IF($D$3="Bear",IF(ISNUMBER(E21),E21,"MISSING"),IF($D$3="Bull",IF(ISNUMBER(G21),G21,"MISSING"),IF(ISNUMBER(F21),F21,"MISSING")))</x:f>
        <x:v>0</x:v>
      </x:c>
      <x:c r="E21" s="7" t="n">
        <x:v>0</x:v>
      </x:c>
      <x:c r="F21" s="7" t="n">
        <x:v>0</x:v>
      </x:c>
      <x:c r="G21" s="7" t="n">
        <x:v>0</x:v>
      </x:c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capital</x:v>
      </x:c>
      <x:c r="D22" s="4" t="n">
        <x:f>IF($D$3="Bear",IF(ISNUMBER(E22),E22,"MISSING"),IF($D$3="Bull",IF(ISNUMBER(G22),G22,"MISSING"),IF(ISNUMBER(F22),F22,"MISSING")))</x:f>
        <x:v>0</x:v>
      </x:c>
      <x:c r="E22" s="7" t="n">
        <x:v>0</x:v>
      </x:c>
      <x:c r="F22" s="7" t="n">
        <x:v>0</x:v>
      </x:c>
      <x:c r="G22" s="7" t="n">
        <x:v>0</x:v>
      </x:c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addshares</x:v>
      </x:c>
      <x:c r="D23" s="4" t="n">
        <x:f>IF($D$3="Bear",IF(ISNUMBER(E23),E23,"MISSING"),IF($D$3="Bull",IF(ISNUMBER(G23),G23,"MISSING"),IF(ISNUMBER(F23),F23,"MISSING")))</x:f>
        <x:v>0</x:v>
      </x:c>
      <x:c r="E23" s="7" t="n">
        <x:v>0</x:v>
      </x:c>
      <x:c r="F23" s="7" t="n">
        <x:v>0</x:v>
      </x:c>
      <x:c r="G23" s="7" t="n">
        <x:v>0</x:v>
      </x:c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reference_price</x:v>
      </x:c>
      <x:c r="D24" s="4" t="n">
        <x:f>IF($D$3="Bear",IF(ISNUMBER(E24),E24,"MISSING"),IF($D$3="Bull",IF(ISNUMBER(G24),G24,"MISSING"),IF(ISNUMBER(F24),F24,"MISSING")))</x:f>
        <x:v>70900</x:v>
      </x:c>
      <x:c r="E24" s="7" t="n">
        <x:v>70900</x:v>
      </x:c>
      <x:c r="F24" s="7" t="n">
        <x:v>70900</x:v>
      </x:c>
      <x:c r="G24" s="7" t="n">
        <x:v>70900</x:v>
      </x:c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sgaratio</x:v>
      </x:c>
      <x:c r="D25" s="5" t="n">
        <x:f>IF($D$3="Bear",IF(ISNUMBER(E25),E25,"MISSING"),IF($D$3="Bull",IF(ISNUMBER(G25),G25,"MISSING"),IF(ISNUMBER(F25),F25,"MISSING")))</x:f>
        <x:v>0.045</x:v>
      </x:c>
      <x:c r="E25" s="6" t="n">
        <x:v>0.05</x:v>
      </x:c>
      <x:c r="F25" s="6" t="n">
        <x:v>0.045</x:v>
      </x:c>
      <x:c r="G25" s="6" t="n">
        <x:v>0.04</x:v>
      </x:c>
      <x:c r="H25" s="4"/>
      <x:c r="I25" s="4"/>
      <x:c r="J25" s="1"/>
      <x:c r="K25" s="1"/>
      <x:c r="L25" s="1"/>
    </x:row>
    <x:row r="26" ht="22" customHeight="1">
      <x:c r="A26" s="1"/>
      <x:c r="B26" s="1"/>
      <x:c r="C26" s="1" t="str">
        <x:v>h2_cash_adjustment</x:v>
      </x:c>
      <x:c r="D26" s="4" t="n">
        <x:f>IF($D$3="Bear",IF(ISNUMBER(E26),E26,"MISSING"),IF($D$3="Bull",IF(ISNUMBER(G26),G26,"MISSING"),IF(ISNUMBER(F26),F26,"MISSING")))</x:f>
        <x:v>-23.665235726</x:v>
      </x:c>
      <x:c r="E26" s="7" t="n">
        <x:v>-23.665235726</x:v>
      </x:c>
      <x:c r="F26" s="7" t="n">
        <x:v>-23.665235726</x:v>
      </x:c>
      <x:c r="G26" s="7" t="n">
        <x:v>-23.665235726</x:v>
      </x:c>
      <x:c r="H26" s="4"/>
      <x:c r="I26" s="4"/>
      <x:c r="J26" s="1"/>
      <x:c r="K26" s="1"/>
      <x:c r="L26" s="1"/>
    </x:row>
    <x:row r="27" ht="22" customHeight="1">
      <x:c r="A27" s="1"/>
      <x:c r="B27" s="1"/>
      <x:c r="C27" s="1" t="str">
        <x:v>price_hurdle_uplift</x:v>
      </x:c>
      <x:c r="D27" s="5" t="n">
        <x:f>IF($D$3="Bear",IF(ISNUMBER(E27),E27,"MISSING"),IF($D$3="Bull",IF(ISNUMBER(G27),G27,"MISSING"),IF(ISNUMBER(F27),F27,"MISSING")))</x:f>
        <x:v>0.13615310234940425</x:v>
      </x:c>
      <x:c r="E27" s="6" t="n">
        <x:v>0.2999915036524725</x:v>
      </x:c>
      <x:c r="F27" s="6" t="n">
        <x:v>0.13615310234940425</x:v>
      </x:c>
      <x:c r="G27" s="6" t="n">
        <x:v>0.0323879721233995</x:v>
      </x:c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7"/>
      <x:c r="F28" s="7"/>
      <x:c r="G28" s="7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7"/>
      <x:c r="F29" s="7"/>
      <x:c r="G29" s="7"/>
      <x:c r="H29" s="4"/>
      <x:c r="I29" s="4"/>
      <x:c r="J29" s="1"/>
      <x:c r="K29" s="1"/>
      <x:c r="L29" s="1"/>
    </x:row>
    <x:row r="30" ht="27" customHeight="1">
      <x:c r="A30" s="1"/>
      <x:c r="B30" s="1"/>
      <x:c r="C30" s="17"/>
      <x:c r="D30" s="18" t="n">
        <x:v>2026</x:v>
      </x:c>
      <x:c r="E30" s="18" t="n">
        <x:v>2027</x:v>
      </x:c>
      <x:c r="F30" s="18" t="n">
        <x:v>2028</x:v>
      </x:c>
      <x:c r="G30" s="18" t="n">
        <x:v>2029</x:v>
      </x:c>
      <x:c r="H30" s="18" t="n">
        <x:v>2030</x:v>
      </x:c>
      <x:c r="I30" s="18" t="n">
        <x:v>2031</x:v>
      </x:c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 t="str">
        <x:v>margin Active</x:v>
      </x:c>
      <x:c r="D37" s="5" t="n">
        <x:f>IF($D$3="Bear",IF(ISNUMBER(D38),D38,"MISSING"),IF($D$3="Bull",IF(ISNUMBER(D40),D40,"MISSING"),IF(ISNUMBER(D39),D39,"MISSING")))</x:f>
        <x:v>0.48</x:v>
      </x:c>
      <x:c r="E37" s="5" t="n">
        <x:f>IF($D$3="Bear",IF(ISNUMBER(E38),E38,"MISSING"),IF($D$3="Bull",IF(ISNUMBER(E40),E40,"MISSING"),IF(ISNUMBER(E39),E39,"MISSING")))</x:f>
        <x:v>0.48</x:v>
      </x:c>
      <x:c r="F37" s="5" t="n">
        <x:f>IF($D$3="Bear",IF(ISNUMBER(F38),F38,"MISSING"),IF($D$3="Bull",IF(ISNUMBER(F40),F40,"MISSING"),IF(ISNUMBER(F39),F39,"MISSING")))</x:f>
        <x:v>0.485</x:v>
      </x:c>
      <x:c r="G37" s="5" t="n">
        <x:f>IF($D$3="Bear",IF(ISNUMBER(G38),G38,"MISSING"),IF($D$3="Bull",IF(ISNUMBER(G40),G40,"MISSING"),IF(ISNUMBER(G39),G39,"MISSING")))</x:f>
        <x:v>0.48</x:v>
      </x:c>
      <x:c r="H37" s="5" t="n">
        <x:f>IF($D$3="Bear",IF(ISNUMBER(H38),H38,"MISSING"),IF($D$3="Bull",IF(ISNUMBER(H40),H40,"MISSING"),IF(ISNUMBER(H39),H39,"MISSING")))</x:f>
        <x:v>0.47</x:v>
      </x:c>
      <x:c r="I37" s="5" t="n">
        <x:f>IF($D$3="Bear",IF(ISNUMBER(I38),I38,"MISSING"),IF($D$3="Bull",IF(ISNUMBER(I40),I40,"MISSING"),IF(ISNUMBER(I39),I39,"MISSING")))</x:f>
        <x:v>0.46</x:v>
      </x:c>
      <x:c r="J37" s="1"/>
      <x:c r="K37" s="1"/>
      <x:c r="L37" s="1"/>
    </x:row>
    <x:row r="38" ht="22" customHeight="1">
      <x:c r="A38" s="1"/>
      <x:c r="B38" s="1"/>
      <x:c r="C38" s="1" t="str">
        <x:v>Bear</x:v>
      </x:c>
      <x:c r="D38" s="6" t="n">
        <x:v>0.44</x:v>
      </x:c>
      <x:c r="E38" s="6" t="n">
        <x:v>0.44</x:v>
      </x:c>
      <x:c r="F38" s="6" t="n">
        <x:v>0.445</x:v>
      </x:c>
      <x:c r="G38" s="6" t="n">
        <x:v>0.44</x:v>
      </x:c>
      <x:c r="H38" s="6" t="n">
        <x:v>0.43</x:v>
      </x:c>
      <x:c r="I38" s="6" t="n">
        <x:v>0.42</x:v>
      </x:c>
      <x:c r="J38" s="1"/>
      <x:c r="K38" s="1"/>
      <x:c r="L38" s="1"/>
    </x:row>
    <x:row r="39" ht="22" customHeight="1">
      <x:c r="A39" s="1"/>
      <x:c r="B39" s="1"/>
      <x:c r="C39" s="1" t="str">
        <x:v>Base</x:v>
      </x:c>
      <x:c r="D39" s="6" t="n">
        <x:v>0.48</x:v>
      </x:c>
      <x:c r="E39" s="6" t="n">
        <x:v>0.48</x:v>
      </x:c>
      <x:c r="F39" s="6" t="n">
        <x:v>0.485</x:v>
      </x:c>
      <x:c r="G39" s="6" t="n">
        <x:v>0.48</x:v>
      </x:c>
      <x:c r="H39" s="6" t="n">
        <x:v>0.47</x:v>
      </x:c>
      <x:c r="I39" s="6" t="n">
        <x:v>0.46</x:v>
      </x:c>
      <x:c r="J39" s="1"/>
      <x:c r="K39" s="1"/>
      <x:c r="L39" s="1"/>
    </x:row>
    <x:row r="40" ht="22" customHeight="1">
      <x:c r="A40" s="1"/>
      <x:c r="B40" s="1"/>
      <x:c r="C40" s="1" t="str">
        <x:v>Bull</x:v>
      </x:c>
      <x:c r="D40" s="6" t="n">
        <x:v>0.495</x:v>
      </x:c>
      <x:c r="E40" s="6" t="n">
        <x:v>0.505</x:v>
      </x:c>
      <x:c r="F40" s="6" t="n">
        <x:v>0.51</x:v>
      </x:c>
      <x:c r="G40" s="6" t="n">
        <x:v>0.5</x:v>
      </x:c>
      <x:c r="H40" s="6" t="n">
        <x:v>0.49</x:v>
      </x:c>
      <x:c r="I40" s="6" t="n">
        <x:v>0.48</x:v>
      </x:c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 t="str">
        <x:v>da Active</x:v>
      </x:c>
      <x:c r="D42" s="4" t="n">
        <x:f>IF($D$3="Bear",IF(ISNUMBER(D43),D43,"MISSING"),IF($D$3="Bull",IF(ISNUMBER(D45),D45,"MISSING"),IF(ISNUMBER(D44),D44,"MISSING")))</x:f>
        <x:v>15.5</x:v>
      </x:c>
      <x:c r="E42" s="4" t="n">
        <x:f>IF($D$3="Bear",IF(ISNUMBER(E43),E43,"MISSING"),IF($D$3="Bull",IF(ISNUMBER(E45),E45,"MISSING"),IF(ISNUMBER(E44),E44,"MISSING")))</x:f>
        <x:v>21</x:v>
      </x:c>
      <x:c r="F42" s="4" t="n">
        <x:f>IF($D$3="Bear",IF(ISNUMBER(F43),F43,"MISSING"),IF($D$3="Bull",IF(ISNUMBER(F45),F45,"MISSING"),IF(ISNUMBER(F44),F44,"MISSING")))</x:f>
        <x:v>24</x:v>
      </x:c>
      <x:c r="G42" s="4" t="n">
        <x:f>IF($D$3="Bear",IF(ISNUMBER(G43),G43,"MISSING"),IF($D$3="Bull",IF(ISNUMBER(G45),G45,"MISSING"),IF(ISNUMBER(G44),G44,"MISSING")))</x:f>
        <x:v>27</x:v>
      </x:c>
      <x:c r="H42" s="4" t="n">
        <x:f>IF($D$3="Bear",IF(ISNUMBER(H43),H43,"MISSING"),IF($D$3="Bull",IF(ISNUMBER(H45),H45,"MISSING"),IF(ISNUMBER(H44),H44,"MISSING")))</x:f>
        <x:v>30</x:v>
      </x:c>
      <x:c r="I42" s="4" t="n">
        <x:f>IF($D$3="Bear",IF(ISNUMBER(I43),I43,"MISSING"),IF($D$3="Bull",IF(ISNUMBER(I45),I45,"MISSING"),IF(ISNUMBER(I44),I44,"MISSING")))</x:f>
        <x:v>33</x:v>
      </x:c>
      <x:c r="J42" s="1"/>
      <x:c r="K42" s="1"/>
      <x:c r="L42" s="1"/>
    </x:row>
    <x:row r="43" ht="22" customHeight="1">
      <x:c r="A43" s="1"/>
      <x:c r="B43" s="1"/>
      <x:c r="C43" s="1" t="str">
        <x:v>Bear</x:v>
      </x:c>
      <x:c r="D43" s="7" t="n">
        <x:v>15.5</x:v>
      </x:c>
      <x:c r="E43" s="7" t="n">
        <x:v>22</x:v>
      </x:c>
      <x:c r="F43" s="7" t="n">
        <x:v>25</x:v>
      </x:c>
      <x:c r="G43" s="7" t="n">
        <x:v>28</x:v>
      </x:c>
      <x:c r="H43" s="7" t="n">
        <x:v>31</x:v>
      </x:c>
      <x:c r="I43" s="7" t="n">
        <x:v>34</x:v>
      </x:c>
      <x:c r="J43" s="1"/>
      <x:c r="K43" s="1"/>
      <x:c r="L43" s="1"/>
    </x:row>
    <x:row r="44" ht="22" customHeight="1">
      <x:c r="A44" s="1"/>
      <x:c r="B44" s="1"/>
      <x:c r="C44" s="1" t="str">
        <x:v>Base</x:v>
      </x:c>
      <x:c r="D44" s="7" t="n">
        <x:v>15.5</x:v>
      </x:c>
      <x:c r="E44" s="7" t="n">
        <x:v>21</x:v>
      </x:c>
      <x:c r="F44" s="7" t="n">
        <x:v>24</x:v>
      </x:c>
      <x:c r="G44" s="7" t="n">
        <x:v>27</x:v>
      </x:c>
      <x:c r="H44" s="7" t="n">
        <x:v>30</x:v>
      </x:c>
      <x:c r="I44" s="7" t="n">
        <x:v>33</x:v>
      </x:c>
      <x:c r="J44" s="1"/>
      <x:c r="K44" s="1"/>
      <x:c r="L44" s="1"/>
    </x:row>
    <x:row r="45" ht="22" customHeight="1">
      <x:c r="A45" s="1"/>
      <x:c r="B45" s="1"/>
      <x:c r="C45" s="1" t="str">
        <x:v>Bull</x:v>
      </x:c>
      <x:c r="D45" s="7" t="n">
        <x:v>15.5</x:v>
      </x:c>
      <x:c r="E45" s="7" t="n">
        <x:v>22</x:v>
      </x:c>
      <x:c r="F45" s="7" t="n">
        <x:v>26</x:v>
      </x:c>
      <x:c r="G45" s="7" t="n">
        <x:v>30</x:v>
      </x:c>
      <x:c r="H45" s="7" t="n">
        <x:v>34</x:v>
      </x:c>
      <x:c r="I45" s="7" t="n">
        <x:v>38</x:v>
      </x:c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 t="str">
        <x:v>capex Active</x:v>
      </x:c>
      <x:c r="D47" s="4" t="n">
        <x:f>IF($D$3="Bear",IF(ISNUMBER(D48),D48,"MISSING"),IF($D$3="Bull",IF(ISNUMBER(D50),D50,"MISSING"),IF(ISNUMBER(D49),D49,"MISSING")))</x:f>
        <x:v>80</x:v>
      </x:c>
      <x:c r="E47" s="4" t="n">
        <x:f>IF($D$3="Bear",IF(ISNUMBER(E48),E48,"MISSING"),IF($D$3="Bull",IF(ISNUMBER(E50),E50,"MISSING"),IF(ISNUMBER(E49),E49,"MISSING")))</x:f>
        <x:v>45</x:v>
      </x:c>
      <x:c r="F47" s="4" t="n">
        <x:f>IF($D$3="Bear",IF(ISNUMBER(F48),F48,"MISSING"),IF($D$3="Bull",IF(ISNUMBER(F50),F50,"MISSING"),IF(ISNUMBER(F49),F49,"MISSING")))</x:f>
        <x:v>45</x:v>
      </x:c>
      <x:c r="G47" s="4" t="n">
        <x:f>IF($D$3="Bear",IF(ISNUMBER(G48),G48,"MISSING"),IF($D$3="Bull",IF(ISNUMBER(G50),G50,"MISSING"),IF(ISNUMBER(G49),G49,"MISSING")))</x:f>
        <x:v>48</x:v>
      </x:c>
      <x:c r="H47" s="4" t="n">
        <x:f>IF($D$3="Bear",IF(ISNUMBER(H48),H48,"MISSING"),IF($D$3="Bull",IF(ISNUMBER(H50),H50,"MISSING"),IF(ISNUMBER(H49),H49,"MISSING")))</x:f>
        <x:v>50</x:v>
      </x:c>
      <x:c r="I47" s="4" t="n">
        <x:f>IF($D$3="Bear",IF(ISNUMBER(I48),I48,"MISSING"),IF($D$3="Bull",IF(ISNUMBER(I50),I50,"MISSING"),IF(ISNUMBER(I49),I49,"MISSING")))</x:f>
        <x:v>52</x:v>
      </x:c>
      <x:c r="J47" s="1"/>
      <x:c r="K47" s="1"/>
      <x:c r="L47" s="1"/>
    </x:row>
    <x:row r="48" ht="22" customHeight="1">
      <x:c r="A48" s="1"/>
      <x:c r="B48" s="1"/>
      <x:c r="C48" s="1" t="str">
        <x:v>Bear</x:v>
      </x:c>
      <x:c r="D48" s="7" t="n">
        <x:v>90</x:v>
      </x:c>
      <x:c r="E48" s="7" t="n">
        <x:v>50</x:v>
      </x:c>
      <x:c r="F48" s="7" t="n">
        <x:v>45</x:v>
      </x:c>
      <x:c r="G48" s="7" t="n">
        <x:v>45</x:v>
      </x:c>
      <x:c r="H48" s="7" t="n">
        <x:v>45</x:v>
      </x:c>
      <x:c r="I48" s="7" t="n">
        <x:v>45</x:v>
      </x:c>
      <x:c r="J48" s="1"/>
      <x:c r="K48" s="1"/>
      <x:c r="L48" s="1"/>
    </x:row>
    <x:row r="49" ht="22" customHeight="1">
      <x:c r="A49" s="1"/>
      <x:c r="B49" s="1"/>
      <x:c r="C49" s="1" t="str">
        <x:v>Base</x:v>
      </x:c>
      <x:c r="D49" s="7" t="n">
        <x:v>80</x:v>
      </x:c>
      <x:c r="E49" s="7" t="n">
        <x:v>45</x:v>
      </x:c>
      <x:c r="F49" s="7" t="n">
        <x:v>45</x:v>
      </x:c>
      <x:c r="G49" s="7" t="n">
        <x:v>48</x:v>
      </x:c>
      <x:c r="H49" s="7" t="n">
        <x:v>50</x:v>
      </x:c>
      <x:c r="I49" s="7" t="n">
        <x:v>52</x:v>
      </x:c>
      <x:c r="J49" s="1"/>
      <x:c r="K49" s="1"/>
      <x:c r="L49" s="1"/>
    </x:row>
    <x:row r="50" ht="22" customHeight="1">
      <x:c r="A50" s="1"/>
      <x:c r="B50" s="1"/>
      <x:c r="C50" s="1" t="str">
        <x:v>Bull</x:v>
      </x:c>
      <x:c r="D50" s="7" t="n">
        <x:v>85</x:v>
      </x:c>
      <x:c r="E50" s="7" t="n">
        <x:v>55</x:v>
      </x:c>
      <x:c r="F50" s="7" t="n">
        <x:v>55</x:v>
      </x:c>
      <x:c r="G50" s="7" t="n">
        <x:v>60</x:v>
      </x:c>
      <x:c r="H50" s="7" t="n">
        <x:v>65</x:v>
      </x:c>
      <x:c r="I50" s="7" t="n">
        <x:v>70</x:v>
      </x:c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 t="str">
        <x:v>Review inputs / conditional stresses</x:v>
      </x:c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 t="str">
        <x:v>margin_drop</x:v>
      </x:c>
      <x:c r="D60" s="6" t="n">
        <x:v>0.02</x:v>
      </x:c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 t="str">
        <x:v>extra_capex</x:v>
      </x:c>
      <x:c r="D61" s="6" t="n">
        <x:v>0.2</x:v>
      </x:c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 t="str">
        <x:v>customer_a_share</x:v>
      </x:c>
      <x:c r="D62" s="7" t="n">
        <x:v>0.23823236168394887</x:v>
      </x:c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 t="str">
        <x:v>customer_shock</x:v>
      </x:c>
      <x:c r="D63" s="7" t="n">
        <x:v>0.1</x:v>
      </x:c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 t="str">
        <x:v>contribution_margin</x:v>
      </x:c>
      <x:c r="D64" s="7" t="n">
        <x:v>0.5</x:v>
      </x:c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 t="str">
        <x:v>collection_delay_days</x:v>
      </x:c>
      <x:c r="D65" s="7" t="n">
        <x:v>15</x:v>
      </x:c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 t="str">
        <x:v>Source: research_inputs.json; evidence in report section 06.</x:v>
      </x:c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2" customHeight="1">
      <x:c r="A88" s="1"/>
      <x:c r="B88" s="1"/>
      <x:c r="C88" s="1" t="str">
        <x:v>H2 product revenue, KRW bn</x:v>
      </x:c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2" customHeight="1">
      <x:c r="A90" s="1"/>
      <x:c r="B90" s="1"/>
      <x:c r="C90" s="1" t="str">
        <x:v>Test socket H2 bn</x:v>
      </x:c>
      <x:c r="D90" s="1" t="n">
        <x:f>IF($D$3="Bear",IF(ISNUMBER(E90),E90,"MISSING"),IF($D$3="Bull",IF(ISNUMBER(G90),G90,"MISSING"),IF(ISNUMBER(F90),F90,"MISSING")))</x:f>
        <x:v>155</x:v>
      </x:c>
      <x:c r="E90" s="9" t="n">
        <x:v>133</x:v>
      </x:c>
      <x:c r="F90" s="9" t="n">
        <x:v>155</x:v>
      </x:c>
      <x:c r="G90" s="9" t="n">
        <x:v>173</x:v>
      </x:c>
      <x:c r="H90" s="1"/>
      <x:c r="I90" s="1"/>
      <x:c r="J90" s="1"/>
      <x:c r="K90" s="1"/>
      <x:c r="L90" s="1"/>
    </x:row>
    <x:row r="91" ht="22" customHeight="1">
      <x:c r="A91" s="1"/>
      <x:c r="B91" s="1"/>
      <x:c r="C91" s="1" t="str">
        <x:v>Leeno pin H2 bn</x:v>
      </x:c>
      <x:c r="D91" s="1" t="n">
        <x:f>IF($D$3="Bear",IF(ISNUMBER(E91),E91,"MISSING"),IF($D$3="Bull",IF(ISNUMBER(G91),G91,"MISSING"),IF(ISNUMBER(F91),F91,"MISSING")))</x:f>
        <x:v>51.5</x:v>
      </x:c>
      <x:c r="E91" s="9" t="n">
        <x:v>45</x:v>
      </x:c>
      <x:c r="F91" s="9" t="n">
        <x:v>51.5</x:v>
      </x:c>
      <x:c r="G91" s="9" t="n">
        <x:v>58</x:v>
      </x:c>
      <x:c r="H91" s="1"/>
      <x:c r="I91" s="1"/>
      <x:c r="J91" s="1"/>
      <x:c r="K91" s="1"/>
      <x:c r="L91" s="1"/>
    </x:row>
    <x:row r="92" ht="22" customHeight="1">
      <x:c r="A92" s="1"/>
      <x:c r="B92" s="1"/>
      <x:c r="C92" s="1" t="str">
        <x:v>Medical incl. related goods H2 bn</x:v>
      </x:c>
      <x:c r="D92" s="1" t="n">
        <x:f>IF($D$3="Bear",IF(ISNUMBER(E92),E92,"MISSING"),IF($D$3="Bull",IF(ISNUMBER(G92),G92,"MISSING"),IF(ISNUMBER(F92),F92,"MISSING")))</x:f>
        <x:v>20.5</x:v>
      </x:c>
      <x:c r="E92" s="9" t="n">
        <x:v>18</x:v>
      </x:c>
      <x:c r="F92" s="9" t="n">
        <x:v>20.5</x:v>
      </x:c>
      <x:c r="G92" s="9" t="n">
        <x:v>21.5</x:v>
      </x:c>
      <x:c r="H92" s="1"/>
      <x:c r="I92" s="1"/>
      <x:c r="J92" s="1"/>
      <x:c r="K92" s="1"/>
      <x:c r="L92" s="1"/>
    </x:row>
    <x:row r="93" ht="22" customHeight="1">
      <x:c r="A93" s="1"/>
      <x:c r="B93" s="1"/>
      <x:c r="C93" s="1" t="str">
        <x:v>Other goods H2 bn</x:v>
      </x:c>
      <x:c r="D93" s="1" t="n">
        <x:f>IF($D$3="Bear",IF(ISNUMBER(E93),E93,"MISSING"),IF($D$3="Bull",IF(ISNUMBER(G93),G93,"MISSING"),IF(ISNUMBER(F93),F93,"MISSING")))</x:f>
        <x:v>0.06</x:v>
      </x:c>
      <x:c r="E93" s="9" t="n">
        <x:v>0.05</x:v>
      </x:c>
      <x:c r="F93" s="9" t="n">
        <x:v>0.06</x:v>
      </x:c>
      <x:c r="G93" s="9" t="n">
        <x:v>0.07</x:v>
      </x:c>
      <x:c r="H93" s="1"/>
      <x:c r="I93" s="1"/>
      <x:c r="J93" s="1"/>
      <x:c r="K93" s="1"/>
      <x:c r="L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 ht="22" customHeight="1">
      <x:c r="A96" s="1"/>
      <x:c r="B96" s="1"/>
      <x:c r="C96" s="1" t="str">
        <x:v>Product growth by year; D=2026 / I=2031</x:v>
      </x:c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22" customHeight="1">
      <x:c r="A98" s="1"/>
      <x:c r="B98" s="1"/>
      <x:c r="C98" s="1" t="str">
        <x:v>Test socket growth active</x:v>
      </x:c>
      <x:c r="D98" s="5" t="n">
        <x:f>IF($D$3="Bear",IF(ISNUMBER(D99),D99,"MISSING"),IF($D$3="Bull",IF(ISNUMBER(D101),D101,"MISSING"),IF(ISNUMBER(D100),D100,"MISSING")))</x:f>
        <x:v>0</x:v>
      </x:c>
      <x:c r="E98" s="5" t="n">
        <x:f>IF($D$3="Bear",IF(ISNUMBER(E99),E99,"MISSING"),IF($D$3="Bull",IF(ISNUMBER(E101),E101,"MISSING"),IF(ISNUMBER(E100),E100,"MISSING")))</x:f>
        <x:v>0.25</x:v>
      </x:c>
      <x:c r="F98" s="5" t="n">
        <x:f>IF($D$3="Bear",IF(ISNUMBER(F99),F99,"MISSING"),IF($D$3="Bull",IF(ISNUMBER(F101),F101,"MISSING"),IF(ISNUMBER(F100),F100,"MISSING")))</x:f>
        <x:v>0.18</x:v>
      </x:c>
      <x:c r="G98" s="5" t="n">
        <x:f>IF($D$3="Bear",IF(ISNUMBER(G99),G99,"MISSING"),IF($D$3="Bull",IF(ISNUMBER(G101),G101,"MISSING"),IF(ISNUMBER(G100),G100,"MISSING")))</x:f>
        <x:v>0.14</x:v>
      </x:c>
      <x:c r="H98" s="5" t="n">
        <x:f>IF($D$3="Bear",IF(ISNUMBER(H99),H99,"MISSING"),IF($D$3="Bull",IF(ISNUMBER(H101),H101,"MISSING"),IF(ISNUMBER(H100),H100,"MISSING")))</x:f>
        <x:v>0.1</x:v>
      </x:c>
      <x:c r="I98" s="5" t="n">
        <x:f>IF($D$3="Bear",IF(ISNUMBER(I99),I99,"MISSING"),IF($D$3="Bull",IF(ISNUMBER(I101),I101,"MISSING"),IF(ISNUMBER(I100),I100,"MISSING")))</x:f>
        <x:v>0.07</x:v>
      </x:c>
      <x:c r="J98" s="1"/>
      <x:c r="K98" s="1"/>
      <x:c r="L98" s="1"/>
    </x:row>
    <x:row r="99" ht="22" customHeight="1">
      <x:c r="A99" s="1"/>
      <x:c r="B99" s="1"/>
      <x:c r="C99" s="1" t="str">
        <x:v>Bear</x:v>
      </x:c>
      <x:c r="D99" s="6" t="n">
        <x:v>0</x:v>
      </x:c>
      <x:c r="E99" s="6" t="n">
        <x:v>0.14</x:v>
      </x:c>
      <x:c r="F99" s="6" t="n">
        <x:v>0.1</x:v>
      </x:c>
      <x:c r="G99" s="6" t="n">
        <x:v>0.08</x:v>
      </x:c>
      <x:c r="H99" s="6" t="n">
        <x:v>0.06</x:v>
      </x:c>
      <x:c r="I99" s="6" t="n">
        <x:v>0.04</x:v>
      </x:c>
      <x:c r="J99" s="1"/>
      <x:c r="K99" s="1"/>
      <x:c r="L99" s="1"/>
    </x:row>
    <x:row r="100" ht="22" customHeight="1">
      <x:c r="A100" s="1"/>
      <x:c r="B100" s="1"/>
      <x:c r="C100" s="1" t="str">
        <x:v>Base</x:v>
      </x:c>
      <x:c r="D100" s="6" t="n">
        <x:v>0</x:v>
      </x:c>
      <x:c r="E100" s="6" t="n">
        <x:v>0.25</x:v>
      </x:c>
      <x:c r="F100" s="6" t="n">
        <x:v>0.18</x:v>
      </x:c>
      <x:c r="G100" s="6" t="n">
        <x:v>0.14</x:v>
      </x:c>
      <x:c r="H100" s="6" t="n">
        <x:v>0.1</x:v>
      </x:c>
      <x:c r="I100" s="6" t="n">
        <x:v>0.07</x:v>
      </x:c>
      <x:c r="J100" s="1"/>
      <x:c r="K100" s="1"/>
      <x:c r="L100" s="1"/>
    </x:row>
    <x:row r="101" ht="22" customHeight="1">
      <x:c r="A101" s="1"/>
      <x:c r="B101" s="1"/>
      <x:c r="C101" s="1" t="str">
        <x:v>Bull</x:v>
      </x:c>
      <x:c r="D101" s="6" t="n">
        <x:v>0</x:v>
      </x:c>
      <x:c r="E101" s="6" t="n">
        <x:v>0.32</x:v>
      </x:c>
      <x:c r="F101" s="6" t="n">
        <x:v>0.24</x:v>
      </x:c>
      <x:c r="G101" s="6" t="n">
        <x:v>0.18</x:v>
      </x:c>
      <x:c r="H101" s="6" t="n">
        <x:v>0.14</x:v>
      </x:c>
      <x:c r="I101" s="6" t="n">
        <x:v>0.1</x:v>
      </x:c>
      <x:c r="J101" s="1"/>
      <x:c r="K101" s="1"/>
      <x:c r="L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22" customHeight="1">
      <x:c r="A103" s="1"/>
      <x:c r="B103" s="1"/>
      <x:c r="C103" s="1" t="str">
        <x:v>Leeno pin growth active</x:v>
      </x:c>
      <x:c r="D103" s="5" t="n">
        <x:f>IF($D$3="Bear",IF(ISNUMBER(D104),D104,"MISSING"),IF($D$3="Bull",IF(ISNUMBER(D106),D106,"MISSING"),IF(ISNUMBER(D105),D105,"MISSING")))</x:f>
        <x:v>0</x:v>
      </x:c>
      <x:c r="E103" s="5" t="n">
        <x:f>IF($D$3="Bear",IF(ISNUMBER(E104),E104,"MISSING"),IF($D$3="Bull",IF(ISNUMBER(E106),E106,"MISSING"),IF(ISNUMBER(E105),E105,"MISSING")))</x:f>
        <x:v>0.15</x:v>
      </x:c>
      <x:c r="F103" s="5" t="n">
        <x:f>IF($D$3="Bear",IF(ISNUMBER(F104),F104,"MISSING"),IF($D$3="Bull",IF(ISNUMBER(F106),F106,"MISSING"),IF(ISNUMBER(F105),F105,"MISSING")))</x:f>
        <x:v>0.12</x:v>
      </x:c>
      <x:c r="G103" s="5" t="n">
        <x:f>IF($D$3="Bear",IF(ISNUMBER(G104),G104,"MISSING"),IF($D$3="Bull",IF(ISNUMBER(G106),G106,"MISSING"),IF(ISNUMBER(G105),G105,"MISSING")))</x:f>
        <x:v>0.1</x:v>
      </x:c>
      <x:c r="H103" s="5" t="n">
        <x:f>IF($D$3="Bear",IF(ISNUMBER(H104),H104,"MISSING"),IF($D$3="Bull",IF(ISNUMBER(H106),H106,"MISSING"),IF(ISNUMBER(H105),H105,"MISSING")))</x:f>
        <x:v>0.08</x:v>
      </x:c>
      <x:c r="I103" s="5" t="n">
        <x:f>IF($D$3="Bear",IF(ISNUMBER(I104),I104,"MISSING"),IF($D$3="Bull",IF(ISNUMBER(I106),I106,"MISSING"),IF(ISNUMBER(I105),I105,"MISSING")))</x:f>
        <x:v>0.06</x:v>
      </x:c>
      <x:c r="J103" s="1"/>
      <x:c r="K103" s="1"/>
      <x:c r="L103" s="1"/>
    </x:row>
    <x:row r="104" ht="22" customHeight="1">
      <x:c r="A104" s="1"/>
      <x:c r="B104" s="1"/>
      <x:c r="C104" s="1" t="str">
        <x:v>Bear</x:v>
      </x:c>
      <x:c r="D104" s="6" t="n">
        <x:v>0</x:v>
      </x:c>
      <x:c r="E104" s="6" t="n">
        <x:v>0.08</x:v>
      </x:c>
      <x:c r="F104" s="6" t="n">
        <x:v>0.07</x:v>
      </x:c>
      <x:c r="G104" s="6" t="n">
        <x:v>0.06</x:v>
      </x:c>
      <x:c r="H104" s="6" t="n">
        <x:v>0.04</x:v>
      </x:c>
      <x:c r="I104" s="6" t="n">
        <x:v>0.03</x:v>
      </x:c>
      <x:c r="J104" s="1"/>
      <x:c r="K104" s="1"/>
      <x:c r="L104" s="1"/>
    </x:row>
    <x:row r="105" ht="22" customHeight="1">
      <x:c r="A105" s="1"/>
      <x:c r="B105" s="1"/>
      <x:c r="C105" s="1" t="str">
        <x:v>Base</x:v>
      </x:c>
      <x:c r="D105" s="6" t="n">
        <x:v>0</x:v>
      </x:c>
      <x:c r="E105" s="6" t="n">
        <x:v>0.15</x:v>
      </x:c>
      <x:c r="F105" s="6" t="n">
        <x:v>0.12</x:v>
      </x:c>
      <x:c r="G105" s="6" t="n">
        <x:v>0.1</x:v>
      </x:c>
      <x:c r="H105" s="6" t="n">
        <x:v>0.08</x:v>
      </x:c>
      <x:c r="I105" s="6" t="n">
        <x:v>0.06</x:v>
      </x:c>
      <x:c r="J105" s="1"/>
      <x:c r="K105" s="1"/>
      <x:c r="L105" s="1"/>
    </x:row>
    <x:row r="106" ht="22" customHeight="1">
      <x:c r="A106" s="1"/>
      <x:c r="B106" s="1"/>
      <x:c r="C106" s="1" t="str">
        <x:v>Bull</x:v>
      </x:c>
      <x:c r="D106" s="6" t="n">
        <x:v>0</x:v>
      </x:c>
      <x:c r="E106" s="6" t="n">
        <x:v>0.2</x:v>
      </x:c>
      <x:c r="F106" s="6" t="n">
        <x:v>0.15</x:v>
      </x:c>
      <x:c r="G106" s="6" t="n">
        <x:v>0.12</x:v>
      </x:c>
      <x:c r="H106" s="6" t="n">
        <x:v>0.1</x:v>
      </x:c>
      <x:c r="I106" s="6" t="n">
        <x:v>0.08</x:v>
      </x:c>
      <x:c r="J106" s="1"/>
      <x:c r="K106" s="1"/>
      <x:c r="L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t="22" customHeight="1">
      <x:c r="A108" s="1"/>
      <x:c r="B108" s="1"/>
      <x:c r="C108" s="1" t="str">
        <x:v>Medical incl. related goods growth active</x:v>
      </x:c>
      <x:c r="D108" s="5" t="n">
        <x:f>IF($D$3="Bear",IF(ISNUMBER(D109),D109,"MISSING"),IF($D$3="Bull",IF(ISNUMBER(D111),D111,"MISSING"),IF(ISNUMBER(D110),D110,"MISSING")))</x:f>
        <x:v>0</x:v>
      </x:c>
      <x:c r="E108" s="5" t="n">
        <x:f>IF($D$3="Bear",IF(ISNUMBER(E109),E109,"MISSING"),IF($D$3="Bull",IF(ISNUMBER(E111),E111,"MISSING"),IF(ISNUMBER(E110),E110,"MISSING")))</x:f>
        <x:v>0.08</x:v>
      </x:c>
      <x:c r="F108" s="5" t="n">
        <x:f>IF($D$3="Bear",IF(ISNUMBER(F109),F109,"MISSING"),IF($D$3="Bull",IF(ISNUMBER(F111),F111,"MISSING"),IF(ISNUMBER(F110),F110,"MISSING")))</x:f>
        <x:v>0.07</x:v>
      </x:c>
      <x:c r="G108" s="5" t="n">
        <x:f>IF($D$3="Bear",IF(ISNUMBER(G109),G109,"MISSING"),IF($D$3="Bull",IF(ISNUMBER(G111),G111,"MISSING"),IF(ISNUMBER(G110),G110,"MISSING")))</x:f>
        <x:v>0.06</x:v>
      </x:c>
      <x:c r="H108" s="5" t="n">
        <x:f>IF($D$3="Bear",IF(ISNUMBER(H109),H109,"MISSING"),IF($D$3="Bull",IF(ISNUMBER(H111),H111,"MISSING"),IF(ISNUMBER(H110),H110,"MISSING")))</x:f>
        <x:v>0.05</x:v>
      </x:c>
      <x:c r="I108" s="5" t="n">
        <x:f>IF($D$3="Bear",IF(ISNUMBER(I109),I109,"MISSING"),IF($D$3="Bull",IF(ISNUMBER(I111),I111,"MISSING"),IF(ISNUMBER(I110),I110,"MISSING")))</x:f>
        <x:v>0.04</x:v>
      </x:c>
      <x:c r="J108" s="1"/>
      <x:c r="K108" s="1"/>
      <x:c r="L108" s="1"/>
    </x:row>
    <x:row r="109" ht="22" customHeight="1">
      <x:c r="A109" s="1"/>
      <x:c r="B109" s="1"/>
      <x:c r="C109" s="1" t="str">
        <x:v>Bear</x:v>
      </x:c>
      <x:c r="D109" s="6" t="n">
        <x:v>0</x:v>
      </x:c>
      <x:c r="E109" s="6" t="n">
        <x:v>0.04</x:v>
      </x:c>
      <x:c r="F109" s="6" t="n">
        <x:v>0.04</x:v>
      </x:c>
      <x:c r="G109" s="6" t="n">
        <x:v>0.03</x:v>
      </x:c>
      <x:c r="H109" s="6" t="n">
        <x:v>0.03</x:v>
      </x:c>
      <x:c r="I109" s="6" t="n">
        <x:v>0.02</x:v>
      </x:c>
      <x:c r="J109" s="1"/>
      <x:c r="K109" s="1"/>
      <x:c r="L109" s="1"/>
    </x:row>
    <x:row r="110" ht="22" customHeight="1">
      <x:c r="A110" s="1"/>
      <x:c r="B110" s="1"/>
      <x:c r="C110" s="1" t="str">
        <x:v>Base</x:v>
      </x:c>
      <x:c r="D110" s="6" t="n">
        <x:v>0</x:v>
      </x:c>
      <x:c r="E110" s="6" t="n">
        <x:v>0.08</x:v>
      </x:c>
      <x:c r="F110" s="6" t="n">
        <x:v>0.07</x:v>
      </x:c>
      <x:c r="G110" s="6" t="n">
        <x:v>0.06</x:v>
      </x:c>
      <x:c r="H110" s="6" t="n">
        <x:v>0.05</x:v>
      </x:c>
      <x:c r="I110" s="6" t="n">
        <x:v>0.04</x:v>
      </x:c>
      <x:c r="J110" s="1"/>
      <x:c r="K110" s="1"/>
      <x:c r="L110" s="1"/>
    </x:row>
    <x:row r="111" ht="22" customHeight="1">
      <x:c r="A111" s="1"/>
      <x:c r="B111" s="1"/>
      <x:c r="C111" s="1" t="str">
        <x:v>Bull</x:v>
      </x:c>
      <x:c r="D111" s="6" t="n">
        <x:v>0</x:v>
      </x:c>
      <x:c r="E111" s="6" t="n">
        <x:v>0.12</x:v>
      </x:c>
      <x:c r="F111" s="6" t="n">
        <x:v>0.1</x:v>
      </x:c>
      <x:c r="G111" s="6" t="n">
        <x:v>0.08</x:v>
      </x:c>
      <x:c r="H111" s="6" t="n">
        <x:v>0.07</x:v>
      </x:c>
      <x:c r="I111" s="6" t="n">
        <x:v>0.05</x:v>
      </x:c>
      <x:c r="J111" s="1"/>
      <x:c r="K111" s="1"/>
      <x:c r="L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22" customHeight="1">
      <x:c r="A113" s="1"/>
      <x:c r="B113" s="1"/>
      <x:c r="C113" s="1" t="str">
        <x:v>Other goods growth active</x:v>
      </x:c>
      <x:c r="D113" s="5" t="n">
        <x:f>IF($D$3="Bear",IF(ISNUMBER(D114),D114,"MISSING"),IF($D$3="Bull",IF(ISNUMBER(D116),D116,"MISSING"),IF(ISNUMBER(D115),D115,"MISSING")))</x:f>
        <x:v>0</x:v>
      </x:c>
      <x:c r="E113" s="5" t="n">
        <x:f>IF($D$3="Bear",IF(ISNUMBER(E114),E114,"MISSING"),IF($D$3="Bull",IF(ISNUMBER(E116),E116,"MISSING"),IF(ISNUMBER(E115),E115,"MISSING")))</x:f>
        <x:v>0</x:v>
      </x:c>
      <x:c r="F113" s="5" t="n">
        <x:f>IF($D$3="Bear",IF(ISNUMBER(F114),F114,"MISSING"),IF($D$3="Bull",IF(ISNUMBER(F116),F116,"MISSING"),IF(ISNUMBER(F115),F115,"MISSING")))</x:f>
        <x:v>0</x:v>
      </x:c>
      <x:c r="G113" s="5" t="n">
        <x:f>IF($D$3="Bear",IF(ISNUMBER(G114),G114,"MISSING"),IF($D$3="Bull",IF(ISNUMBER(G116),G116,"MISSING"),IF(ISNUMBER(G115),G115,"MISSING")))</x:f>
        <x:v>0</x:v>
      </x:c>
      <x:c r="H113" s="5" t="n">
        <x:f>IF($D$3="Bear",IF(ISNUMBER(H114),H114,"MISSING"),IF($D$3="Bull",IF(ISNUMBER(H116),H116,"MISSING"),IF(ISNUMBER(H115),H115,"MISSING")))</x:f>
        <x:v>0</x:v>
      </x:c>
      <x:c r="I113" s="5" t="n">
        <x:f>IF($D$3="Bear",IF(ISNUMBER(I114),I114,"MISSING"),IF($D$3="Bull",IF(ISNUMBER(I116),I116,"MISSING"),IF(ISNUMBER(I115),I115,"MISSING")))</x:f>
        <x:v>0</x:v>
      </x:c>
      <x:c r="J113" s="1"/>
      <x:c r="K113" s="1"/>
      <x:c r="L113" s="1"/>
    </x:row>
    <x:row r="114" ht="22" customHeight="1">
      <x:c r="A114" s="1"/>
      <x:c r="B114" s="1"/>
      <x:c r="C114" s="1" t="str">
        <x:v>Bear</x:v>
      </x:c>
      <x:c r="D114" s="6" t="n">
        <x:v>0</x:v>
      </x:c>
      <x:c r="E114" s="6" t="n">
        <x:v>0</x:v>
      </x:c>
      <x:c r="F114" s="6" t="n">
        <x:v>0</x:v>
      </x:c>
      <x:c r="G114" s="6" t="n">
        <x:v>0</x:v>
      </x:c>
      <x:c r="H114" s="6" t="n">
        <x:v>0</x:v>
      </x:c>
      <x:c r="I114" s="6" t="n">
        <x:v>0</x:v>
      </x:c>
      <x:c r="J114" s="1"/>
      <x:c r="K114" s="1"/>
      <x:c r="L114" s="1"/>
    </x:row>
    <x:row r="115" ht="22" customHeight="1">
      <x:c r="A115" s="1"/>
      <x:c r="B115" s="1"/>
      <x:c r="C115" s="1" t="str">
        <x:v>Base</x:v>
      </x:c>
      <x:c r="D115" s="6" t="n">
        <x:v>0</x:v>
      </x:c>
      <x:c r="E115" s="6" t="n">
        <x:v>0</x:v>
      </x:c>
      <x:c r="F115" s="6" t="n">
        <x:v>0</x:v>
      </x:c>
      <x:c r="G115" s="6" t="n">
        <x:v>0</x:v>
      </x:c>
      <x:c r="H115" s="6" t="n">
        <x:v>0</x:v>
      </x:c>
      <x:c r="I115" s="6" t="n">
        <x:v>0</x:v>
      </x:c>
      <x:c r="J115" s="1"/>
      <x:c r="K115" s="1"/>
      <x:c r="L115" s="1"/>
    </x:row>
    <x:row r="116" ht="22" customHeight="1">
      <x:c r="A116" s="1"/>
      <x:c r="B116" s="1"/>
      <x:c r="C116" s="1" t="str">
        <x:v>Bull</x:v>
      </x:c>
      <x:c r="D116" s="6" t="n">
        <x:v>0</x:v>
      </x:c>
      <x:c r="E116" s="6" t="n">
        <x:v>0</x:v>
      </x:c>
      <x:c r="F116" s="6" t="n">
        <x:v>0</x:v>
      </x:c>
      <x:c r="G116" s="6" t="n">
        <x:v>0</x:v>
      </x:c>
      <x:c r="H116" s="6" t="n">
        <x:v>0</x:v>
      </x:c>
      <x:c r="I116" s="6" t="n">
        <x:v>0</x:v>
      </x:c>
      <x:c r="J116" s="1"/>
      <x:c r="K116" s="1"/>
      <x:c r="L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t="22" customHeight="1">
      <x:c r="A120" s="1"/>
      <x:c r="B120" s="1"/>
      <x:c r="C120" s="1" t="str">
        <x:v>DSO days active</x:v>
      </x:c>
      <x:c r="D120" s="1" t="n">
        <x:f>IF($D$3="Bear",IF(ISNUMBER(D121),D121,"MISSING"),IF($D$3="Bull",IF(ISNUMBER(D123),D123,"MISSING"),IF(ISNUMBER(D122),D122,"MISSING")))</x:f>
        <x:v>65</x:v>
      </x:c>
      <x:c r="E120" s="1" t="n">
        <x:f>IF($D$3="Bear",IF(ISNUMBER(E121),E121,"MISSING"),IF($D$3="Bull",IF(ISNUMBER(E123),E123,"MISSING"),IF(ISNUMBER(E122),E122,"MISSING")))</x:f>
        <x:v>63</x:v>
      </x:c>
      <x:c r="F120" s="1" t="n">
        <x:f>IF($D$3="Bear",IF(ISNUMBER(F121),F121,"MISSING"),IF($D$3="Bull",IF(ISNUMBER(F123),F123,"MISSING"),IF(ISNUMBER(F122),F122,"MISSING")))</x:f>
        <x:v>60</x:v>
      </x:c>
      <x:c r="G120" s="1" t="n">
        <x:f>IF($D$3="Bear",IF(ISNUMBER(G121),G121,"MISSING"),IF($D$3="Bull",IF(ISNUMBER(G123),G123,"MISSING"),IF(ISNUMBER(G122),G122,"MISSING")))</x:f>
        <x:v>58</x:v>
      </x:c>
      <x:c r="H120" s="1" t="n">
        <x:f>IF($D$3="Bear",IF(ISNUMBER(H121),H121,"MISSING"),IF($D$3="Bull",IF(ISNUMBER(H123),H123,"MISSING"),IF(ISNUMBER(H122),H122,"MISSING")))</x:f>
        <x:v>58</x:v>
      </x:c>
      <x:c r="I120" s="1" t="n">
        <x:f>IF($D$3="Bear",IF(ISNUMBER(I121),I121,"MISSING"),IF($D$3="Bull",IF(ISNUMBER(I123),I123,"MISSING"),IF(ISNUMBER(I122),I122,"MISSING")))</x:f>
        <x:v>58</x:v>
      </x:c>
      <x:c r="J120" s="1"/>
      <x:c r="K120" s="1"/>
      <x:c r="L120" s="1"/>
    </x:row>
    <x:row r="121" ht="22" customHeight="1">
      <x:c r="A121" s="1"/>
      <x:c r="B121" s="1"/>
      <x:c r="C121" s="1" t="str">
        <x:v>Bear</x:v>
      </x:c>
      <x:c r="D121" s="9" t="n">
        <x:v>75</x:v>
      </x:c>
      <x:c r="E121" s="9" t="n">
        <x:v>75</x:v>
      </x:c>
      <x:c r="F121" s="9" t="n">
        <x:v>72</x:v>
      </x:c>
      <x:c r="G121" s="9" t="n">
        <x:v>70</x:v>
      </x:c>
      <x:c r="H121" s="9" t="n">
        <x:v>68</x:v>
      </x:c>
      <x:c r="I121" s="9" t="n">
        <x:v>65</x:v>
      </x:c>
      <x:c r="J121" s="1"/>
      <x:c r="K121" s="1"/>
      <x:c r="L121" s="1"/>
    </x:row>
    <x:row r="122" ht="22" customHeight="1">
      <x:c r="A122" s="1"/>
      <x:c r="B122" s="1"/>
      <x:c r="C122" s="1" t="str">
        <x:v>Base</x:v>
      </x:c>
      <x:c r="D122" s="9" t="n">
        <x:v>65</x:v>
      </x:c>
      <x:c r="E122" s="9" t="n">
        <x:v>63</x:v>
      </x:c>
      <x:c r="F122" s="9" t="n">
        <x:v>60</x:v>
      </x:c>
      <x:c r="G122" s="9" t="n">
        <x:v>58</x:v>
      </x:c>
      <x:c r="H122" s="9" t="n">
        <x:v>58</x:v>
      </x:c>
      <x:c r="I122" s="9" t="n">
        <x:v>58</x:v>
      </x:c>
      <x:c r="J122" s="1"/>
      <x:c r="K122" s="1"/>
      <x:c r="L122" s="1"/>
    </x:row>
    <x:row r="123" ht="22" customHeight="1">
      <x:c r="A123" s="1"/>
      <x:c r="B123" s="1"/>
      <x:c r="C123" s="1" t="str">
        <x:v>Bull</x:v>
      </x:c>
      <x:c r="D123" s="9" t="n">
        <x:v>58</x:v>
      </x:c>
      <x:c r="E123" s="9" t="n">
        <x:v>55</x:v>
      </x:c>
      <x:c r="F123" s="9" t="n">
        <x:v>52</x:v>
      </x:c>
      <x:c r="G123" s="9" t="n">
        <x:v>50</x:v>
      </x:c>
      <x:c r="H123" s="9" t="n">
        <x:v>50</x:v>
      </x:c>
      <x:c r="I123" s="9" t="n">
        <x:v>50</x:v>
      </x:c>
      <x:c r="J123" s="1"/>
      <x:c r="K123" s="1"/>
      <x:c r="L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22" customHeight="1">
      <x:c r="A125" s="1"/>
      <x:c r="B125" s="1"/>
      <x:c r="C125" s="1" t="str">
        <x:v>DIO days active</x:v>
      </x:c>
      <x:c r="D125" s="1" t="n">
        <x:f>IF($D$3="Bear",IF(ISNUMBER(D126),D126,"MISSING"),IF($D$3="Bull",IF(ISNUMBER(D128),D128,"MISSING"),IF(ISNUMBER(D127),D127,"MISSING")))</x:f>
        <x:v>32</x:v>
      </x:c>
      <x:c r="E125" s="1" t="n">
        <x:f>IF($D$3="Bear",IF(ISNUMBER(E126),E126,"MISSING"),IF($D$3="Bull",IF(ISNUMBER(E128),E128,"MISSING"),IF(ISNUMBER(E127),E127,"MISSING")))</x:f>
        <x:v>32</x:v>
      </x:c>
      <x:c r="F125" s="1" t="n">
        <x:f>IF($D$3="Bear",IF(ISNUMBER(F126),F126,"MISSING"),IF($D$3="Bull",IF(ISNUMBER(F128),F128,"MISSING"),IF(ISNUMBER(F127),F127,"MISSING")))</x:f>
        <x:v>32</x:v>
      </x:c>
      <x:c r="G125" s="1" t="n">
        <x:f>IF($D$3="Bear",IF(ISNUMBER(G126),G126,"MISSING"),IF($D$3="Bull",IF(ISNUMBER(G128),G128,"MISSING"),IF(ISNUMBER(G127),G127,"MISSING")))</x:f>
        <x:v>32</x:v>
      </x:c>
      <x:c r="H125" s="1" t="n">
        <x:f>IF($D$3="Bear",IF(ISNUMBER(H126),H126,"MISSING"),IF($D$3="Bull",IF(ISNUMBER(H128),H128,"MISSING"),IF(ISNUMBER(H127),H127,"MISSING")))</x:f>
        <x:v>32</x:v>
      </x:c>
      <x:c r="I125" s="1" t="n">
        <x:f>IF($D$3="Bear",IF(ISNUMBER(I126),I126,"MISSING"),IF($D$3="Bull",IF(ISNUMBER(I128),I128,"MISSING"),IF(ISNUMBER(I127),I127,"MISSING")))</x:f>
        <x:v>32</x:v>
      </x:c>
      <x:c r="J125" s="1"/>
      <x:c r="K125" s="1"/>
      <x:c r="L125" s="1"/>
    </x:row>
    <x:row r="126" ht="22" customHeight="1">
      <x:c r="A126" s="1"/>
      <x:c r="B126" s="1"/>
      <x:c r="C126" s="1" t="str">
        <x:v>Bear</x:v>
      </x:c>
      <x:c r="D126" s="9" t="n">
        <x:v>38</x:v>
      </x:c>
      <x:c r="E126" s="9" t="n">
        <x:v>38</x:v>
      </x:c>
      <x:c r="F126" s="9" t="n">
        <x:v>38</x:v>
      </x:c>
      <x:c r="G126" s="9" t="n">
        <x:v>38</x:v>
      </x:c>
      <x:c r="H126" s="9" t="n">
        <x:v>38</x:v>
      </x:c>
      <x:c r="I126" s="9" t="n">
        <x:v>38</x:v>
      </x:c>
      <x:c r="J126" s="1"/>
      <x:c r="K126" s="1"/>
      <x:c r="L126" s="1"/>
    </x:row>
    <x:row r="127" ht="22" customHeight="1">
      <x:c r="A127" s="1"/>
      <x:c r="B127" s="1"/>
      <x:c r="C127" s="1" t="str">
        <x:v>Base</x:v>
      </x:c>
      <x:c r="D127" s="9" t="n">
        <x:v>32</x:v>
      </x:c>
      <x:c r="E127" s="9" t="n">
        <x:v>32</x:v>
      </x:c>
      <x:c r="F127" s="9" t="n">
        <x:v>32</x:v>
      </x:c>
      <x:c r="G127" s="9" t="n">
        <x:v>32</x:v>
      </x:c>
      <x:c r="H127" s="9" t="n">
        <x:v>32</x:v>
      </x:c>
      <x:c r="I127" s="9" t="n">
        <x:v>32</x:v>
      </x:c>
      <x:c r="J127" s="1"/>
      <x:c r="K127" s="1"/>
      <x:c r="L127" s="1"/>
    </x:row>
    <x:row r="128" ht="22" customHeight="1">
      <x:c r="A128" s="1"/>
      <x:c r="B128" s="1"/>
      <x:c r="C128" s="1" t="str">
        <x:v>Bull</x:v>
      </x:c>
      <x:c r="D128" s="9" t="n">
        <x:v>28</x:v>
      </x:c>
      <x:c r="E128" s="9" t="n">
        <x:v>28</x:v>
      </x:c>
      <x:c r="F128" s="9" t="n">
        <x:v>28</x:v>
      </x:c>
      <x:c r="G128" s="9" t="n">
        <x:v>28</x:v>
      </x:c>
      <x:c r="H128" s="9" t="n">
        <x:v>28</x:v>
      </x:c>
      <x:c r="I128" s="9" t="n">
        <x:v>28</x:v>
      </x:c>
      <x:c r="J128" s="1"/>
      <x:c r="K128" s="1"/>
      <x:c r="L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22" customHeight="1">
      <x:c r="A130" s="1"/>
      <x:c r="B130" s="1"/>
      <x:c r="C130" s="1" t="str">
        <x:v>DPO days active</x:v>
      </x:c>
      <x:c r="D130" s="1" t="n">
        <x:f>IF($D$3="Bear",IF(ISNUMBER(D131),D131,"MISSING"),IF($D$3="Bull",IF(ISNUMBER(D133),D133,"MISSING"),IF(ISNUMBER(D132),D132,"MISSING")))</x:f>
        <x:v>12</x:v>
      </x:c>
      <x:c r="E130" s="1" t="n">
        <x:f>IF($D$3="Bear",IF(ISNUMBER(E131),E131,"MISSING"),IF($D$3="Bull",IF(ISNUMBER(E133),E133,"MISSING"),IF(ISNUMBER(E132),E132,"MISSING")))</x:f>
        <x:v>12</x:v>
      </x:c>
      <x:c r="F130" s="1" t="n">
        <x:f>IF($D$3="Bear",IF(ISNUMBER(F131),F131,"MISSING"),IF($D$3="Bull",IF(ISNUMBER(F133),F133,"MISSING"),IF(ISNUMBER(F132),F132,"MISSING")))</x:f>
        <x:v>12</x:v>
      </x:c>
      <x:c r="G130" s="1" t="n">
        <x:f>IF($D$3="Bear",IF(ISNUMBER(G131),G131,"MISSING"),IF($D$3="Bull",IF(ISNUMBER(G133),G133,"MISSING"),IF(ISNUMBER(G132),G132,"MISSING")))</x:f>
        <x:v>12</x:v>
      </x:c>
      <x:c r="H130" s="1" t="n">
        <x:f>IF($D$3="Bear",IF(ISNUMBER(H131),H131,"MISSING"),IF($D$3="Bull",IF(ISNUMBER(H133),H133,"MISSING"),IF(ISNUMBER(H132),H132,"MISSING")))</x:f>
        <x:v>12</x:v>
      </x:c>
      <x:c r="I130" s="1" t="n">
        <x:f>IF($D$3="Bear",IF(ISNUMBER(I131),I131,"MISSING"),IF($D$3="Bull",IF(ISNUMBER(I133),I133,"MISSING"),IF(ISNUMBER(I132),I132,"MISSING")))</x:f>
        <x:v>12</x:v>
      </x:c>
      <x:c r="J130" s="1"/>
      <x:c r="K130" s="1"/>
      <x:c r="L130" s="1"/>
    </x:row>
    <x:row r="131" ht="22" customHeight="1">
      <x:c r="A131" s="1"/>
      <x:c r="B131" s="1"/>
      <x:c r="C131" s="1" t="str">
        <x:v>Bear</x:v>
      </x:c>
      <x:c r="D131" s="9" t="n">
        <x:v>10</x:v>
      </x:c>
      <x:c r="E131" s="9" t="n">
        <x:v>10</x:v>
      </x:c>
      <x:c r="F131" s="9" t="n">
        <x:v>10</x:v>
      </x:c>
      <x:c r="G131" s="9" t="n">
        <x:v>10</x:v>
      </x:c>
      <x:c r="H131" s="9" t="n">
        <x:v>10</x:v>
      </x:c>
      <x:c r="I131" s="9" t="n">
        <x:v>10</x:v>
      </x:c>
      <x:c r="J131" s="1"/>
      <x:c r="K131" s="1"/>
      <x:c r="L131" s="1"/>
    </x:row>
    <x:row r="132" ht="22" customHeight="1">
      <x:c r="A132" s="1"/>
      <x:c r="B132" s="1"/>
      <x:c r="C132" s="1" t="str">
        <x:v>Base</x:v>
      </x:c>
      <x:c r="D132" s="9" t="n">
        <x:v>12</x:v>
      </x:c>
      <x:c r="E132" s="9" t="n">
        <x:v>12</x:v>
      </x:c>
      <x:c r="F132" s="9" t="n">
        <x:v>12</x:v>
      </x:c>
      <x:c r="G132" s="9" t="n">
        <x:v>12</x:v>
      </x:c>
      <x:c r="H132" s="9" t="n">
        <x:v>12</x:v>
      </x:c>
      <x:c r="I132" s="9" t="n">
        <x:v>12</x:v>
      </x:c>
      <x:c r="J132" s="1"/>
      <x:c r="K132" s="1"/>
      <x:c r="L132" s="1"/>
    </x:row>
    <x:row r="133" ht="22" customHeight="1">
      <x:c r="A133" s="1"/>
      <x:c r="B133" s="1"/>
      <x:c r="C133" s="1" t="str">
        <x:v>Bull</x:v>
      </x:c>
      <x:c r="D133" s="9" t="n">
        <x:v>14</x:v>
      </x:c>
      <x:c r="E133" s="9" t="n">
        <x:v>14</x:v>
      </x:c>
      <x:c r="F133" s="9" t="n">
        <x:v>14</x:v>
      </x:c>
      <x:c r="G133" s="9" t="n">
        <x:v>14</x:v>
      </x:c>
      <x:c r="H133" s="9" t="n">
        <x:v>14</x:v>
      </x:c>
      <x:c r="I133" s="9" t="n">
        <x:v>14</x:v>
      </x:c>
      <x:c r="J133" s="1"/>
      <x:c r="K133" s="1"/>
      <x:c r="L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22" customHeight="1">
      <x:c r="A137" s="1"/>
      <x:c r="B137" s="1"/>
      <x:c r="C137" s="1" t="str">
        <x:v>Sources: H1 S03; future rates are analyst conditions.</x:v>
      </x:c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22" customHeight="1">
      <x:c r="A139" s="1"/>
      <x:c r="B139" s="1"/>
      <x:c r="C139" s="1" t="str">
        <x:v>Growth and NWC totals are derived in Operating Build.</x:v>
      </x:c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</x:sheetData>
  <x:dataValidations count="1">
    <x:dataValidation type="list" sqref="D3">
      <x:formula1>"Bear,Base,Bull"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Operating Build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7" customHeight="1">
      <x:c r="A7" s="1"/>
      <x:c r="B7" s="1"/>
      <x:c r="C7" s="13"/>
      <x:c r="D7" s="13" t="n">
        <x:v>2026</x:v>
      </x:c>
      <x:c r="E7" s="13" t="n">
        <x:v>2027</x:v>
      </x:c>
      <x:c r="F7" s="13" t="n">
        <x:v>2028</x:v>
      </x:c>
      <x:c r="G7" s="13" t="n">
        <x:v>2029</x:v>
      </x:c>
      <x:c r="H7" s="13" t="n">
        <x:v>2030</x:v>
      </x:c>
      <x:c r="I7" s="13" t="n">
        <x:v>2031</x:v>
      </x:c>
      <x:c r="J7" s="1"/>
      <x:c r="K7" s="1"/>
      <x:c r="L7" s="1"/>
    </x:row>
    <x:row r="8" ht="22" customHeight="1">
      <x:c r="A8" s="1"/>
      <x:c r="B8" s="1"/>
      <x:c r="C8" s="1" t="str">
        <x:v>Test socket</x:v>
      </x:c>
      <x:c r="D8" s="10" t="n">
        <x:f>'Actuals Sources'!D60+Inputs!D90</x:f>
        <x:v>321.384497</x:v>
      </x:c>
      <x:c r="E8" s="10" t="n">
        <x:f>D8*(1+Inputs!E98)</x:f>
        <x:v>401.73062125</x:v>
      </x:c>
      <x:c r="F8" s="10" t="n">
        <x:f>E8*(1+Inputs!F98)</x:f>
        <x:v>474.042133075</x:v>
      </x:c>
      <x:c r="G8" s="10" t="n">
        <x:f>F8*(1+Inputs!G98)</x:f>
        <x:v>540.4080317055001</x:v>
      </x:c>
      <x:c r="H8" s="10" t="n">
        <x:f>G8*(1+Inputs!H98)</x:f>
        <x:v>594.4488348760501</x:v>
      </x:c>
      <x:c r="I8" s="10" t="n">
        <x:f>H8*(1+Inputs!I98)</x:f>
        <x:v>636.0602533173736</x:v>
      </x:c>
      <x:c r="J8" s="1"/>
      <x:c r="K8" s="1"/>
      <x:c r="L8" s="1"/>
    </x:row>
    <x:row r="9" ht="22" customHeight="1">
      <x:c r="A9" s="1"/>
      <x:c r="B9" s="1"/>
      <x:c r="C9" s="1" t="str">
        <x:v>Leeno pin</x:v>
      </x:c>
      <x:c r="D9" s="10" t="n">
        <x:f>'Actuals Sources'!D61+Inputs!D91</x:f>
        <x:v>107.986659</x:v>
      </x:c>
      <x:c r="E9" s="10" t="n">
        <x:f>D9*(1+Inputs!E103)</x:f>
        <x:v>124.18465785</x:v>
      </x:c>
      <x:c r="F9" s="10" t="n">
        <x:f>E9*(1+Inputs!F103)</x:f>
        <x:v>139.086816792</x:v>
      </x:c>
      <x:c r="G9" s="10" t="n">
        <x:f>F9*(1+Inputs!G103)</x:f>
        <x:v>152.99549847120002</x:v>
      </x:c>
      <x:c r="H9" s="10" t="n">
        <x:f>G9*(1+Inputs!H103)</x:f>
        <x:v>165.23513834889604</x:v>
      </x:c>
      <x:c r="I9" s="10" t="n">
        <x:f>H9*(1+Inputs!I103)</x:f>
        <x:v>175.14924664982982</x:v>
      </x:c>
      <x:c r="J9" s="1"/>
      <x:c r="K9" s="1"/>
      <x:c r="L9" s="1"/>
    </x:row>
    <x:row r="10" ht="22" customHeight="1">
      <x:c r="A10" s="1"/>
      <x:c r="B10" s="1"/>
      <x:c r="C10" s="1" t="str">
        <x:v>Medical incl. related goods</x:v>
      </x:c>
      <x:c r="D10" s="10" t="n">
        <x:f>'Actuals Sources'!D62+Inputs!D92</x:f>
        <x:v>40.53066</x:v>
      </x:c>
      <x:c r="E10" s="10" t="n">
        <x:f>D10*(1+Inputs!E108)</x:f>
        <x:v>43.7731128</x:v>
      </x:c>
      <x:c r="F10" s="10" t="n">
        <x:f>E10*(1+Inputs!F108)</x:f>
        <x:v>46.837230696000006</x:v>
      </x:c>
      <x:c r="G10" s="10" t="n">
        <x:f>F10*(1+Inputs!G108)</x:f>
        <x:v>49.64746453776001</x:v>
      </x:c>
      <x:c r="H10" s="10" t="n">
        <x:f>G10*(1+Inputs!H108)</x:f>
        <x:v>52.12983776464801</x:v>
      </x:c>
      <x:c r="I10" s="10" t="n">
        <x:f>H10*(1+Inputs!I108)</x:f>
        <x:v>54.21503127523393</x:v>
      </x:c>
      <x:c r="J10" s="1"/>
      <x:c r="K10" s="1"/>
      <x:c r="L10" s="1"/>
    </x:row>
    <x:row r="11" ht="22" customHeight="1">
      <x:c r="A11" s="1"/>
      <x:c r="B11" s="1"/>
      <x:c r="C11" s="1" t="str">
        <x:v>Other goods</x:v>
      </x:c>
      <x:c r="D11" s="10" t="n">
        <x:f>'Actuals Sources'!D63+Inputs!D93</x:f>
        <x:v>0.116787</x:v>
      </x:c>
      <x:c r="E11" s="10" t="n">
        <x:f>D11*(1+Inputs!E113)</x:f>
        <x:v>0.116787</x:v>
      </x:c>
      <x:c r="F11" s="10" t="n">
        <x:f>E11*(1+Inputs!F113)</x:f>
        <x:v>0.116787</x:v>
      </x:c>
      <x:c r="G11" s="10" t="n">
        <x:f>F11*(1+Inputs!G113)</x:f>
        <x:v>0.116787</x:v>
      </x:c>
      <x:c r="H11" s="10" t="n">
        <x:f>G11*(1+Inputs!H113)</x:f>
        <x:v>0.116787</x:v>
      </x:c>
      <x:c r="I11" s="10" t="n">
        <x:f>H11*(1+Inputs!I113)</x:f>
        <x:v>0.116787</x:v>
      </x:c>
      <x:c r="J11" s="1"/>
      <x:c r="K11" s="1"/>
      <x:c r="L11" s="1"/>
    </x:row>
    <x:row r="12" ht="22" customHeight="1">
      <x:c r="A12" s="1"/>
      <x:c r="B12" s="1"/>
      <x:c r="C12" s="1"/>
      <x:c r="D12" s="4"/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/>
      <x:c r="D13" s="4"/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H1 product table in KRW thousand; rounding gap KRW 202.</x:v>
      </x:c>
      <x:c r="D14" s="4"/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/>
      <x:c r="D15" s="4"/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Production EA is not external sales quantity.</x:v>
      </x:c>
      <x:c r="D16" s="4"/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/>
      <x:c r="D17" s="4"/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Product totals and collection days feed the common Forecast.</x:v>
      </x:c>
      <x:c r="D18" s="4"/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/>
      <x:c r="D19" s="4"/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Total revenue bn</x:v>
      </x:c>
      <x:c r="D20" s="4" t="n">
        <x:f>SUM(D8:D11)</x:f>
        <x:v>470.01860300000004</x:v>
      </x:c>
      <x:c r="E20" s="4" t="n">
        <x:f>SUM(E8:E11)</x:f>
        <x:v>569.8051789000001</x:v>
      </x:c>
      <x:c r="F20" s="4" t="n">
        <x:f>SUM(F8:F11)</x:f>
        <x:v>660.082967563</x:v>
      </x:c>
      <x:c r="G20" s="4" t="n">
        <x:f>SUM(G8:G11)</x:f>
        <x:v>743.1677817144601</x:v>
      </x:c>
      <x:c r="H20" s="4" t="n">
        <x:f>SUM(H8:H11)</x:f>
        <x:v>811.9305979895942</x:v>
      </x:c>
      <x:c r="I20" s="4" t="n">
        <x:f>SUM(I8:I11)</x:f>
        <x:v>865.5413182424375</x:v>
      </x:c>
      <x:c r="J20" s="1"/>
      <x:c r="K20" s="1"/>
      <x:c r="L20" s="1"/>
    </x:row>
    <x:row r="21" ht="22" customHeight="1">
      <x:c r="A21" s="1"/>
      <x:c r="B21" s="1"/>
      <x:c r="C21" s="1" t="str">
        <x:v>Revenue growth</x:v>
      </x:c>
      <x:c r="D21" s="11" t="n">
        <x:f>D20/'Actuals Sources'!D65-1</x:f>
        <x:v>0.2616794608057902</x:v>
      </x:c>
      <x:c r="E21" s="5" t="n">
        <x:f>E20/D20-1</x:f>
        <x:v>0.2123034604653724</x:v>
      </x:c>
      <x:c r="F21" s="5" t="n">
        <x:f>F20/E20-1</x:f>
        <x:v>0.15843623751767177</x:v>
      </x:c>
      <x:c r="G21" s="5" t="n">
        <x:f>G20/F20-1</x:f>
        <x:v>0.1258702590951648</x:v>
      </x:c>
      <x:c r="H21" s="5" t="n">
        <x:f>H20/G20-1</x:f>
        <x:v>0.09252663795045146</x:v>
      </x:c>
      <x:c r="I21" s="5" t="n">
        <x:f>I20/H20-1</x:f>
        <x:v>0.06602869800151367</x:v>
      </x:c>
      <x:c r="J21" s="1"/>
      <x:c r="K21" s="1"/>
      <x:c r="L21" s="1"/>
    </x:row>
    <x:row r="22" ht="22" customHeight="1">
      <x:c r="A22" s="1"/>
      <x:c r="B22" s="1"/>
      <x:c r="C22" s="1"/>
      <x:c r="D22" s="4"/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/>
      <x:c r="D23" s="4"/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COGS / revenue</x:v>
      </x:c>
      <x:c r="D24" s="11" t="n">
        <x:f>1-Inputs!D37-Inputs!$D$25</x:f>
        <x:v>0.47500000000000003</x:v>
      </x:c>
      <x:c r="E24" s="11" t="n">
        <x:f>1-Inputs!E37-Inputs!$D$25</x:f>
        <x:v>0.47500000000000003</x:v>
      </x:c>
      <x:c r="F24" s="11" t="n">
        <x:f>1-Inputs!F37-Inputs!$D$25</x:f>
        <x:v>0.47000000000000003</x:v>
      </x:c>
      <x:c r="G24" s="11" t="n">
        <x:f>1-Inputs!G37-Inputs!$D$25</x:f>
        <x:v>0.47500000000000003</x:v>
      </x:c>
      <x:c r="H24" s="11" t="n">
        <x:f>1-Inputs!H37-Inputs!$D$25</x:f>
        <x:v>0.48500000000000004</x:v>
      </x:c>
      <x:c r="I24" s="11" t="n">
        <x:f>1-Inputs!I37-Inputs!$D$25</x:f>
        <x:v>0.49500000000000005</x:v>
      </x:c>
      <x:c r="J24" s="1"/>
      <x:c r="K24" s="1"/>
      <x:c r="L24" s="1"/>
    </x:row>
    <x:row r="25" ht="22" customHeight="1">
      <x:c r="A25" s="1"/>
      <x:c r="B25" s="1"/>
      <x:c r="C25" s="1" t="str">
        <x:v>DSO days</x:v>
      </x:c>
      <x:c r="D25" s="10" t="n">
        <x:f>Inputs!D120</x:f>
        <x:v>65</x:v>
      </x:c>
      <x:c r="E25" s="10" t="n">
        <x:f>Inputs!E120</x:f>
        <x:v>63</x:v>
      </x:c>
      <x:c r="F25" s="10" t="n">
        <x:f>Inputs!F120</x:f>
        <x:v>60</x:v>
      </x:c>
      <x:c r="G25" s="10" t="n">
        <x:f>Inputs!G120</x:f>
        <x:v>58</x:v>
      </x:c>
      <x:c r="H25" s="10" t="n">
        <x:f>Inputs!H120</x:f>
        <x:v>58</x:v>
      </x:c>
      <x:c r="I25" s="10" t="n">
        <x:f>Inputs!I120</x:f>
        <x:v>58</x:v>
      </x:c>
      <x:c r="J25" s="1"/>
      <x:c r="K25" s="1"/>
      <x:c r="L25" s="1"/>
    </x:row>
    <x:row r="26" ht="22" customHeight="1">
      <x:c r="A26" s="1"/>
      <x:c r="B26" s="1"/>
      <x:c r="C26" s="1" t="str">
        <x:v>DIO days</x:v>
      </x:c>
      <x:c r="D26" s="10" t="n">
        <x:f>Inputs!D125</x:f>
        <x:v>32</x:v>
      </x:c>
      <x:c r="E26" s="10" t="n">
        <x:f>Inputs!E125</x:f>
        <x:v>32</x:v>
      </x:c>
      <x:c r="F26" s="10" t="n">
        <x:f>Inputs!F125</x:f>
        <x:v>32</x:v>
      </x:c>
      <x:c r="G26" s="10" t="n">
        <x:f>Inputs!G125</x:f>
        <x:v>32</x:v>
      </x:c>
      <x:c r="H26" s="10" t="n">
        <x:f>Inputs!H125</x:f>
        <x:v>32</x:v>
      </x:c>
      <x:c r="I26" s="10" t="n">
        <x:f>Inputs!I125</x:f>
        <x:v>32</x:v>
      </x:c>
      <x:c r="J26" s="1"/>
      <x:c r="K26" s="1"/>
      <x:c r="L26" s="1"/>
    </x:row>
    <x:row r="27" ht="22" customHeight="1">
      <x:c r="A27" s="1"/>
      <x:c r="B27" s="1"/>
      <x:c r="C27" s="1" t="str">
        <x:v>DPO days</x:v>
      </x:c>
      <x:c r="D27" s="10" t="n">
        <x:f>Inputs!D130</x:f>
        <x:v>12</x:v>
      </x:c>
      <x:c r="E27" s="10" t="n">
        <x:f>Inputs!E130</x:f>
        <x:v>12</x:v>
      </x:c>
      <x:c r="F27" s="10" t="n">
        <x:f>Inputs!F130</x:f>
        <x:v>12</x:v>
      </x:c>
      <x:c r="G27" s="10" t="n">
        <x:f>Inputs!G130</x:f>
        <x:v>12</x:v>
      </x:c>
      <x:c r="H27" s="10" t="n">
        <x:f>Inputs!H130</x:f>
        <x:v>12</x:v>
      </x:c>
      <x:c r="I27" s="10" t="n">
        <x:f>Inputs!I130</x:f>
        <x:v>12</x:v>
      </x:c>
      <x:c r="J27" s="1"/>
      <x:c r="K27" s="1"/>
      <x:c r="L27" s="1"/>
    </x:row>
    <x:row r="28" ht="22" customHeight="1">
      <x:c r="A28" s="1"/>
      <x:c r="B28" s="1"/>
      <x:c r="C28" s="1" t="str">
        <x:v>Operating NWC / revenue</x:v>
      </x:c>
      <x:c r="D28" s="5" t="n">
        <x:f>D25/365+D24*(D26-D27)/365</x:f>
        <x:v>0.20410958904109588</x:v>
      </x:c>
      <x:c r="E28" s="5" t="n">
        <x:f>E25/365+E24*(E26-E27)/365</x:f>
        <x:v>0.1986301369863014</x:v>
      </x:c>
      <x:c r="F28" s="5" t="n">
        <x:f>F25/365+F24*(F26-F27)/365</x:f>
        <x:v>0.19013698630136985</x:v>
      </x:c>
      <x:c r="G28" s="5" t="n">
        <x:f>G25/365+G24*(G26-G27)/365</x:f>
        <x:v>0.18493150684931509</x:v>
      </x:c>
      <x:c r="H28" s="5" t="n">
        <x:f>H25/365+H24*(H26-H27)/365</x:f>
        <x:v>0.18547945205479455</x:v>
      </x:c>
      <x:c r="I28" s="5" t="n">
        <x:f>I25/365+I24*(I26-I27)/365</x:f>
        <x:v>0.18602739726027398</x:v>
      </x:c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Forecast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7" customHeight="1">
      <x:c r="A7" s="1"/>
      <x:c r="B7" s="1"/>
      <x:c r="C7" s="17"/>
      <x:c r="D7" s="17" t="n">
        <x:v>2026</x:v>
      </x:c>
      <x:c r="E7" s="17" t="n">
        <x:v>2027</x:v>
      </x:c>
      <x:c r="F7" s="17" t="n">
        <x:v>2028</x:v>
      </x:c>
      <x:c r="G7" s="17" t="n">
        <x:v>2029</x:v>
      </x:c>
      <x:c r="H7" s="17" t="n">
        <x:v>2030</x:v>
      </x:c>
      <x:c r="I7" s="17" t="n">
        <x:v>2031</x:v>
      </x:c>
      <x:c r="J7" s="1"/>
      <x:c r="K7" s="1"/>
      <x:c r="L7" s="1"/>
    </x:row>
    <x:row r="8" ht="22" customHeight="1">
      <x:c r="A8" s="1"/>
      <x:c r="B8" s="1"/>
      <x:c r="C8" s="1" t="str">
        <x:v>Revenue</x:v>
      </x:c>
      <x:c r="D8" s="10" t="n">
        <x:f>'Operating Build'!$D$20</x:f>
        <x:v>470.01860300000004</x:v>
      </x:c>
      <x:c r="E8" s="4" t="n">
        <x:f>D8*(1+E9)</x:f>
        <x:v>569.8051789000001</x:v>
      </x:c>
      <x:c r="F8" s="4" t="n">
        <x:f>E8*(1+F9)</x:f>
        <x:v>660.082967563</x:v>
      </x:c>
      <x:c r="G8" s="4" t="n">
        <x:f>F8*(1+G9)</x:f>
        <x:v>743.16778171446</x:v>
      </x:c>
      <x:c r="H8" s="4" t="n">
        <x:f>G8*(1+H9)</x:f>
        <x:v>811.930597989594</x:v>
      </x:c>
      <x:c r="I8" s="4" t="n">
        <x:f>H8*(1+I9)</x:f>
        <x:v>865.5413182424373</x:v>
      </x:c>
      <x:c r="J8" s="1"/>
      <x:c r="K8" s="1"/>
      <x:c r="L8" s="1"/>
    </x:row>
    <x:row r="9" ht="22" customHeight="1">
      <x:c r="A9" s="1"/>
      <x:c r="B9" s="1"/>
      <x:c r="C9" s="1" t="str">
        <x:v>Revenue growth</x:v>
      </x:c>
      <x:c r="D9" s="11" t="n">
        <x:f>'Operating Build'!D21</x:f>
        <x:v>0.2616794608057902</x:v>
      </x:c>
      <x:c r="E9" s="11" t="n">
        <x:f>'Operating Build'!E21</x:f>
        <x:v>0.2123034604653724</x:v>
      </x:c>
      <x:c r="F9" s="11" t="n">
        <x:f>'Operating Build'!F21</x:f>
        <x:v>0.15843623751767177</x:v>
      </x:c>
      <x:c r="G9" s="11" t="n">
        <x:f>'Operating Build'!G21</x:f>
        <x:v>0.1258702590951648</x:v>
      </x:c>
      <x:c r="H9" s="11" t="n">
        <x:f>'Operating Build'!H21</x:f>
        <x:v>0.09252663795045146</x:v>
      </x:c>
      <x:c r="I9" s="11" t="n">
        <x:f>'Operating Build'!I21</x:f>
        <x:v>0.06602869800151367</x:v>
      </x:c>
      <x:c r="J9" s="1"/>
      <x:c r="K9" s="1"/>
      <x:c r="L9" s="1"/>
    </x:row>
    <x:row r="10" ht="22" customHeight="1">
      <x:c r="A10" s="1"/>
      <x:c r="B10" s="1"/>
      <x:c r="C10" s="1" t="str">
        <x:v>Operating margin</x:v>
      </x:c>
      <x:c r="D10" s="11" t="n">
        <x:f>Inputs!D37</x:f>
        <x:v>0.48</x:v>
      </x:c>
      <x:c r="E10" s="11" t="n">
        <x:f>Inputs!E37</x:f>
        <x:v>0.48</x:v>
      </x:c>
      <x:c r="F10" s="11" t="n">
        <x:f>Inputs!F37</x:f>
        <x:v>0.485</x:v>
      </x:c>
      <x:c r="G10" s="11" t="n">
        <x:f>Inputs!G37</x:f>
        <x:v>0.48</x:v>
      </x:c>
      <x:c r="H10" s="11" t="n">
        <x:f>Inputs!H37</x:f>
        <x:v>0.47</x:v>
      </x:c>
      <x:c r="I10" s="11" t="n">
        <x:f>Inputs!I37</x:f>
        <x:v>0.46</x:v>
      </x:c>
      <x:c r="J10" s="1"/>
      <x:c r="K10" s="1"/>
      <x:c r="L10" s="1"/>
    </x:row>
    <x:row r="11" ht="22" customHeight="1">
      <x:c r="A11" s="1"/>
      <x:c r="B11" s="1"/>
      <x:c r="C11" s="1" t="str">
        <x:v>EBIT</x:v>
      </x:c>
      <x:c r="D11" s="4" t="n">
        <x:f>D8*D10</x:f>
        <x:v>225.60892944000003</x:v>
      </x:c>
      <x:c r="E11" s="4" t="n">
        <x:f>E8*E10</x:f>
        <x:v>273.50648587200004</x:v>
      </x:c>
      <x:c r="F11" s="4" t="n">
        <x:f>F8*F10</x:f>
        <x:v>320.140239268055</x:v>
      </x:c>
      <x:c r="G11" s="4" t="n">
        <x:f>G8*G10</x:f>
        <x:v>356.7205352229408</x:v>
      </x:c>
      <x:c r="H11" s="4" t="n">
        <x:f>H8*H10</x:f>
        <x:v>381.60738105510916</x:v>
      </x:c>
      <x:c r="I11" s="4" t="n">
        <x:f>I8*I10</x:f>
        <x:v>398.1490063915212</x:v>
      </x:c>
      <x:c r="J11" s="1"/>
      <x:c r="K11" s="1"/>
      <x:c r="L11" s="1"/>
    </x:row>
    <x:row r="12" ht="22" customHeight="1">
      <x:c r="A12" s="1"/>
      <x:c r="B12" s="1"/>
      <x:c r="C12" s="1" t="str">
        <x:v>Tax rate</x:v>
      </x:c>
      <x:c r="D12" s="11" t="n">
        <x:f>Inputs!$D$18</x:f>
        <x:v>0.24</x:v>
      </x:c>
      <x:c r="E12" s="11" t="n">
        <x:f>Inputs!$D$18</x:f>
        <x:v>0.24</x:v>
      </x:c>
      <x:c r="F12" s="11" t="n">
        <x:f>Inputs!$D$18</x:f>
        <x:v>0.24</x:v>
      </x:c>
      <x:c r="G12" s="11" t="n">
        <x:f>Inputs!$D$18</x:f>
        <x:v>0.24</x:v>
      </x:c>
      <x:c r="H12" s="11" t="n">
        <x:f>Inputs!$D$18</x:f>
        <x:v>0.24</x:v>
      </x:c>
      <x:c r="I12" s="11" t="n">
        <x:f>Inputs!$D$18</x:f>
        <x:v>0.24</x:v>
      </x:c>
      <x:c r="J12" s="1"/>
      <x:c r="K12" s="1"/>
      <x:c r="L12" s="1"/>
    </x:row>
    <x:row r="13" ht="22" customHeight="1">
      <x:c r="A13" s="1"/>
      <x:c r="B13" s="1"/>
      <x:c r="C13" s="1" t="str">
        <x:v>NOPAT</x:v>
      </x:c>
      <x:c r="D13" s="4" t="n">
        <x:f>D11*(1-D12)</x:f>
        <x:v>171.46278637440003</x:v>
      </x:c>
      <x:c r="E13" s="4" t="n">
        <x:f>E11*(1-E12)</x:f>
        <x:v>207.86492926272004</x:v>
      </x:c>
      <x:c r="F13" s="4" t="n">
        <x:f>F11*(1-F12)</x:f>
        <x:v>243.3065818437218</x:v>
      </x:c>
      <x:c r="G13" s="4" t="n">
        <x:f>G11*(1-G12)</x:f>
        <x:v>271.107606769435</x:v>
      </x:c>
      <x:c r="H13" s="4" t="n">
        <x:f>H11*(1-H12)</x:f>
        <x:v>290.021609601883</x:v>
      </x:c>
      <x:c r="I13" s="4" t="n">
        <x:f>I11*(1-I12)</x:f>
        <x:v>302.5932448575561</x:v>
      </x:c>
      <x:c r="J13" s="1"/>
      <x:c r="K13" s="1"/>
      <x:c r="L13" s="1"/>
    </x:row>
    <x:row r="14" ht="22" customHeight="1">
      <x:c r="A14" s="1"/>
      <x:c r="B14" s="1"/>
      <x:c r="C14" s="1" t="str">
        <x:v>D&amp;A</x:v>
      </x:c>
      <x:c r="D14" s="10" t="n">
        <x:f>Inputs!D42</x:f>
        <x:v>15.5</x:v>
      </x:c>
      <x:c r="E14" s="10" t="n">
        <x:f>Inputs!E42</x:f>
        <x:v>21</x:v>
      </x:c>
      <x:c r="F14" s="10" t="n">
        <x:f>Inputs!F42</x:f>
        <x:v>24</x:v>
      </x:c>
      <x:c r="G14" s="10" t="n">
        <x:f>Inputs!G42</x:f>
        <x:v>27</x:v>
      </x:c>
      <x:c r="H14" s="10" t="n">
        <x:f>Inputs!H42</x:f>
        <x:v>30</x:v>
      </x:c>
      <x:c r="I14" s="10" t="n">
        <x:f>Inputs!I42</x:f>
        <x:v>33</x:v>
      </x:c>
      <x:c r="J14" s="1"/>
      <x:c r="K14" s="1"/>
      <x:c r="L14" s="1"/>
    </x:row>
    <x:row r="15" ht="22" customHeight="1">
      <x:c r="A15" s="1"/>
      <x:c r="B15" s="1"/>
      <x:c r="C15" s="1" t="str">
        <x:v>CAPEX</x:v>
      </x:c>
      <x:c r="D15" s="10" t="n">
        <x:f>Inputs!D47</x:f>
        <x:v>80</x:v>
      </x:c>
      <x:c r="E15" s="10" t="n">
        <x:f>Inputs!E47</x:f>
        <x:v>45</x:v>
      </x:c>
      <x:c r="F15" s="10" t="n">
        <x:f>Inputs!F47</x:f>
        <x:v>45</x:v>
      </x:c>
      <x:c r="G15" s="10" t="n">
        <x:f>Inputs!G47</x:f>
        <x:v>48</x:v>
      </x:c>
      <x:c r="H15" s="10" t="n">
        <x:f>Inputs!H47</x:f>
        <x:v>50</x:v>
      </x:c>
      <x:c r="I15" s="10" t="n">
        <x:f>Inputs!I47</x:f>
        <x:v>52</x:v>
      </x:c>
      <x:c r="J15" s="1"/>
      <x:c r="K15" s="1"/>
      <x:c r="L15" s="1"/>
    </x:row>
    <x:row r="16" ht="22" customHeight="1">
      <x:c r="A16" s="1"/>
      <x:c r="B16" s="1"/>
      <x:c r="C16" s="1" t="str">
        <x:v>NWC / annual sales</x:v>
      </x:c>
      <x:c r="D16" s="11" t="n">
        <x:f>'Operating Build'!D28</x:f>
        <x:v>0.20410958904109588</x:v>
      </x:c>
      <x:c r="E16" s="11" t="n">
        <x:f>'Operating Build'!E28</x:f>
        <x:v>0.1986301369863014</x:v>
      </x:c>
      <x:c r="F16" s="11" t="n">
        <x:f>'Operating Build'!F28</x:f>
        <x:v>0.19013698630136985</x:v>
      </x:c>
      <x:c r="G16" s="11" t="n">
        <x:f>'Operating Build'!G28</x:f>
        <x:v>0.18493150684931509</x:v>
      </x:c>
      <x:c r="H16" s="11" t="n">
        <x:f>'Operating Build'!H28</x:f>
        <x:v>0.18547945205479455</x:v>
      </x:c>
      <x:c r="I16" s="11" t="n">
        <x:f>'Operating Build'!I28</x:f>
        <x:v>0.18602739726027398</x:v>
      </x:c>
      <x:c r="J16" s="1"/>
      <x:c r="K16" s="1"/>
      <x:c r="L16" s="1"/>
    </x:row>
    <x:row r="17" ht="22" customHeight="1">
      <x:c r="A17" s="1"/>
      <x:c r="B17" s="1"/>
      <x:c r="C17" s="1" t="str">
        <x:v>Operating NWC</x:v>
      </x:c>
      <x:c r="D17" s="4" t="n">
        <x:f>D8*D16</x:f>
        <x:v>95.93530390000001</x:v>
      </x:c>
      <x:c r="E17" s="4" t="n">
        <x:f>E8*E16</x:f>
        <x:v>113.18048074041099</x:v>
      </x:c>
      <x:c r="F17" s="4" t="n">
        <x:f>F8*F16</x:f>
        <x:v>125.5061861612937</x:v>
      </x:c>
      <x:c r="G17" s="4" t="n">
        <x:f>G8*G16</x:f>
        <x:v>137.43513771431796</x:v>
      </x:c>
      <x:c r="H17" s="4" t="n">
        <x:f>H8*H16</x:f>
        <x:v>150.59644242163156</x:v>
      </x:c>
      <x:c r="I17" s="4" t="n">
        <x:f>I8*I16</x:f>
        <x:v>161.01439865386712</x:v>
      </x:c>
      <x:c r="J17" s="1"/>
      <x:c r="K17" s="1"/>
      <x:c r="L17" s="1"/>
    </x:row>
    <x:row r="18" ht="22" customHeight="1">
      <x:c r="A18" s="1"/>
      <x:c r="B18" s="1"/>
      <x:c r="C18" s="1" t="str">
        <x:v>Change in NWC</x:v>
      </x:c>
      <x:c r="D18" s="4"/>
      <x:c r="E18" s="4" t="n">
        <x:f>E17-D17</x:f>
        <x:v>17.245176840410977</x:v>
      </x:c>
      <x:c r="F18" s="4" t="n">
        <x:f>F17-E17</x:f>
        <x:v>12.325705420882713</x:v>
      </x:c>
      <x:c r="G18" s="4" t="n">
        <x:f>G17-F17</x:f>
        <x:v>11.928951553024262</x:v>
      </x:c>
      <x:c r="H18" s="4" t="n">
        <x:f>H17-G17</x:f>
        <x:v>13.161304707313604</x:v>
      </x:c>
      <x:c r="I18" s="4" t="n">
        <x:f>I17-H17</x:f>
        <x:v>10.417956232235554</x:v>
      </x:c>
      <x:c r="J18" s="1"/>
      <x:c r="K18" s="1"/>
      <x:c r="L18" s="1"/>
    </x:row>
    <x:row r="19" ht="22" customHeight="1">
      <x:c r="A19" s="1"/>
      <x:c r="B19" s="1"/>
      <x:c r="C19" s="1" t="str">
        <x:v>FCFF</x:v>
      </x:c>
      <x:c r="D19" s="4"/>
      <x:c r="E19" s="4" t="n">
        <x:f>E13+E14-E15-E18</x:f>
        <x:v>166.61975242230906</x:v>
      </x:c>
      <x:c r="F19" s="4" t="n">
        <x:f>F13+F14-F15-F18</x:f>
        <x:v>209.9808764228391</x:v>
      </x:c>
      <x:c r="G19" s="4" t="n">
        <x:f>G13+G14-G15-G18</x:f>
        <x:v>238.17865521641073</x:v>
      </x:c>
      <x:c r="H19" s="4" t="n">
        <x:f>H13+H14-H15-H18</x:f>
        <x:v>256.86030489456937</x:v>
      </x:c>
      <x:c r="I19" s="4" t="n">
        <x:f>I13+I14-I15-I18</x:f>
        <x:v>273.17528862532055</x:v>
      </x:c>
      <x:c r="J19" s="1"/>
      <x:c r="K19" s="1"/>
      <x:c r="L19" s="1"/>
    </x:row>
    <x:row r="20" ht="22" customHeight="1">
      <x:c r="A20" s="1"/>
      <x:c r="B20" s="1"/>
      <x:c r="C20" s="1" t="str">
        <x:v>Cash return</x:v>
      </x:c>
      <x:c r="D20" s="10" t="n">
        <x:f>'Cash Equity Bridge'!D16</x:f>
        <x:v>3.8394115690589996</x:v>
      </x:c>
      <x:c r="E20" s="10" t="n">
        <x:f>D26*Inputs!$D$19</x:f>
        <x:v>8.55574473070402</x:v>
      </x:c>
      <x:c r="F20" s="10" t="n">
        <x:f>E26*Inputs!$D$19</x:f>
        <x:v>10.342330075023847</x:v>
      </x:c>
      <x:c r="G20" s="10" t="n">
        <x:f>F26*Inputs!$D$19</x:f>
        <x:v>12.749918939232726</x:v>
      </x:c>
      <x:c r="H20" s="10" t="n">
        <x:f>G26*Inputs!$D$19</x:f>
        <x:v>15.440361108219342</x:v>
      </x:c>
      <x:c r="I20" s="10" t="n">
        <x:f>H26*Inputs!$D$19</x:f>
        <x:v>18.29799891116713</x:v>
      </x:c>
      <x:c r="J20" s="1"/>
      <x:c r="K20" s="1"/>
      <x:c r="L20" s="1"/>
    </x:row>
    <x:row r="21" ht="22" customHeight="1">
      <x:c r="A21" s="1"/>
      <x:c r="B21" s="1"/>
      <x:c r="C21" s="1" t="str">
        <x:v>Parent net income</x:v>
      </x:c>
      <x:c r="D21" s="10" t="n">
        <x:f>'Actuals Sources'!$D$11+'Cash Equity Bridge'!D17</x:f>
        <x:v>189.801889504779</x:v>
      </x:c>
      <x:c r="E21" s="4" t="n">
        <x:f>E13*E27+E20</x:f>
        <x:v>216.42067399342406</x:v>
      </x:c>
      <x:c r="F21" s="4" t="n">
        <x:f>F13*F27+F20</x:f>
        <x:v>253.64891191874565</x:v>
      </x:c>
      <x:c r="G21" s="4" t="n">
        <x:f>G13*G27+G20</x:f>
        <x:v>283.8575257086677</x:v>
      </x:c>
      <x:c r="H21" s="4" t="n">
        <x:f>H13*H27+H20</x:f>
        <x:v>305.4619707101023</x:v>
      </x:c>
      <x:c r="I21" s="4" t="n">
        <x:f>I13*I27+I20</x:f>
        <x:v>320.89124376872326</x:v>
      </x:c>
      <x:c r="J21" s="1"/>
      <x:c r="K21" s="1"/>
      <x:c r="L21" s="1"/>
    </x:row>
    <x:row r="22" ht="22" customHeight="1">
      <x:c r="A22" s="1"/>
      <x:c r="B22" s="1"/>
      <x:c r="C22" s="1" t="str">
        <x:v>EPS KRW</x:v>
      </x:c>
      <x:c r="D22" s="10" t="n">
        <x:f>D21*1000/'Cash Equity Bridge'!$D$23</x:f>
        <x:v>2500.8286317623024</x:v>
      </x:c>
      <x:c r="E22" s="10" t="n">
        <x:f>E21*1000/'Cash Equity Bridge'!$D$23</x:f>
        <x:v>2851.5575869144463</x:v>
      </x:c>
      <x:c r="F22" s="10" t="n">
        <x:f>F21*1000/'Cash Equity Bridge'!$D$23</x:f>
        <x:v>3342.0766410535743</x:v>
      </x:c>
      <x:c r="G22" s="10" t="n">
        <x:f>G21*1000/'Cash Equity Bridge'!$D$23</x:f>
        <x:v>3740.1051669486465</x:v>
      </x:c>
      <x:c r="H22" s="10" t="n">
        <x:f>H21*1000/'Cash Equity Bridge'!$D$23</x:f>
        <x:v>4024.765213136233</x:v>
      </x:c>
      <x:c r="I22" s="10" t="n">
        <x:f>I21*1000/'Cash Equity Bridge'!$D$23</x:f>
        <x:v>4228.061228433839</x:v>
      </x:c>
      <x:c r="J22" s="1"/>
      <x:c r="K22" s="1"/>
      <x:c r="L22" s="1"/>
    </x:row>
    <x:row r="23" ht="22" customHeight="1">
      <x:c r="A23" s="1"/>
      <x:c r="B23" s="1"/>
      <x:c r="C23" s="1" t="str">
        <x:v>Beginning parent book</x:v>
      </x:c>
      <x:c r="D23" s="4"/>
      <x:c r="E23" s="4" t="n">
        <x:f>D25</x:f>
        <x:v>860.2472238567791</x:v>
      </x:c>
      <x:c r="F23" s="4" t="n">
        <x:f>E25</x:f>
        <x:v>1000.7471420482916</x:v>
      </x:c>
      <x:c r="G23" s="4" t="n">
        <x:f>F25</x:f>
        <x:v>1167.8277843696676</x:v>
      </x:c>
      <x:c r="H23" s="4" t="n">
        <x:f>G25</x:f>
        <x:v>1350.225745310837</x:v>
      </x:c>
      <x:c r="I23" s="4" t="n">
        <x:f>H25</x:f>
        <x:v>1542.1447057374723</x:v>
      </x:c>
      <x:c r="J23" s="1"/>
      <x:c r="K23" s="1"/>
      <x:c r="L23" s="1"/>
    </x:row>
    <x:row r="24" ht="22" customHeight="1">
      <x:c r="A24" s="1"/>
      <x:c r="B24" s="1"/>
      <x:c r="C24" s="1" t="str">
        <x:v>Dividends</x:v>
      </x:c>
      <x:c r="D24" s="10" t="n">
        <x:f>Inputs!$D$20</x:f>
        <x:v>0</x:v>
      </x:c>
      <x:c r="E24" s="10" t="n">
        <x:f>D21*Inputs!$D$14</x:f>
        <x:v>75.92075580191161</x:v>
      </x:c>
      <x:c r="F24" s="10" t="n">
        <x:f>E21*Inputs!$D$14</x:f>
        <x:v>86.56826959736964</x:v>
      </x:c>
      <x:c r="G24" s="10" t="n">
        <x:f>F21*Inputs!$D$14</x:f>
        <x:v>101.45956476749826</x:v>
      </x:c>
      <x:c r="H24" s="10" t="n">
        <x:f>G21*Inputs!$D$14</x:f>
        <x:v>113.54301028346708</x:v>
      </x:c>
      <x:c r="I24" s="10" t="n">
        <x:f>H21*Inputs!$D$14</x:f>
        <x:v>122.18478828404093</x:v>
      </x:c>
      <x:c r="J24" s="1"/>
      <x:c r="K24" s="1"/>
      <x:c r="L24" s="1"/>
    </x:row>
    <x:row r="25" ht="22" customHeight="1">
      <x:c r="A25" s="1"/>
      <x:c r="B25" s="1"/>
      <x:c r="C25" s="1" t="str">
        <x:v>Ending parent book</x:v>
      </x:c>
      <x:c r="D25" s="10" t="n">
        <x:f>'Cash Equity Bridge'!D22</x:f>
        <x:v>860.2472238567791</x:v>
      </x:c>
      <x:c r="E25" s="4" t="n">
        <x:f>E23+E21-E24</x:f>
        <x:v>1000.7471420482916</x:v>
      </x:c>
      <x:c r="F25" s="4" t="n">
        <x:f>F23+F21-F24</x:f>
        <x:v>1167.8277843696676</x:v>
      </x:c>
      <x:c r="G25" s="4" t="n">
        <x:f>G23+G21-G24</x:f>
        <x:v>1350.225745310837</x:v>
      </x:c>
      <x:c r="H25" s="4" t="n">
        <x:f>H23+H21-H24</x:f>
        <x:v>1542.1447057374723</x:v>
      </x:c>
      <x:c r="I25" s="4" t="n">
        <x:f>I23+I21-I24</x:f>
        <x:v>1740.8511612221548</x:v>
      </x:c>
      <x:c r="J25" s="1"/>
      <x:c r="K25" s="1"/>
      <x:c r="L25" s="1"/>
    </x:row>
    <x:row r="26" ht="22" customHeight="1">
      <x:c r="A26" s="1"/>
      <x:c r="B26" s="1"/>
      <x:c r="C26" s="1" t="str">
        <x:v>Ending net cash</x:v>
      </x:c>
      <x:c r="D26" s="10" t="n">
        <x:f>'Cash Equity Bridge'!D21</x:f>
        <x:v>475.319151705779</x:v>
      </x:c>
      <x:c r="E26" s="4" t="n">
        <x:f>D26+E19+E20-E24</x:f>
        <x:v>574.5738930568805</x:v>
      </x:c>
      <x:c r="F26" s="4" t="n">
        <x:f>E26+F19+F20-F24</x:f>
        <x:v>708.3288299573737</x:v>
      </x:c>
      <x:c r="G26" s="4" t="n">
        <x:f>F26+G19+G20-G24</x:f>
        <x:v>857.797839345519</x:v>
      </x:c>
      <x:c r="H26" s="4" t="n">
        <x:f>G26+H19+H20-H24</x:f>
        <x:v>1016.5554950648407</x:v>
      </x:c>
      <x:c r="I26" s="4" t="n">
        <x:f>H26+I19+I20-I24</x:f>
        <x:v>1185.8439943172873</x:v>
      </x:c>
      <x:c r="J26" s="1"/>
      <x:c r="K26" s="1"/>
      <x:c r="L26" s="1"/>
    </x:row>
    <x:row r="27" ht="22" customHeight="1">
      <x:c r="A27" s="1"/>
      <x:c r="B27" s="1"/>
      <x:c r="C27" s="1" t="str">
        <x:v>Parent allocation factor</x:v>
      </x:c>
      <x:c r="D27" s="11" t="n">
        <x:f>'Actuals Sources'!D25</x:f>
        <x:v>1</x:v>
      </x:c>
      <x:c r="E27" s="11" t="n">
        <x:f>'Actuals Sources'!D25</x:f>
        <x:v>1</x:v>
      </x:c>
      <x:c r="F27" s="11" t="n">
        <x:f>'Actuals Sources'!D25</x:f>
        <x:v>1</x:v>
      </x:c>
      <x:c r="G27" s="11" t="n">
        <x:f>'Actuals Sources'!D25</x:f>
        <x:v>1</x:v>
      </x:c>
      <x:c r="H27" s="11" t="n">
        <x:f>'Actuals Sources'!D25</x:f>
        <x:v>1</x:v>
      </x:c>
      <x:c r="I27" s="11" t="n">
        <x:f>'Actuals Sources'!D25</x:f>
        <x:v>1</x:v>
      </x:c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Cash Equity Bridge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2" customHeight="1">
      <x:c r="A8" s="1"/>
      <x:c r="B8" s="1"/>
      <x:c r="C8" s="1" t="str">
        <x:v>netcash_h1</x:v>
      </x:c>
      <x:c r="D8" s="10" t="n">
        <x:f>'Actuals Sources'!$D$14+'Actuals Sources'!$D$15-'Actuals Sources'!$D$16-'Actuals Sources'!$D$17</x:f>
        <x:v>426.60128545099997</x:v>
      </x:c>
      <x:c r="E8" s="4"/>
      <x:c r="F8" s="4"/>
      <x:c r="G8" s="4"/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h2_revenue</x:v>
      </x:c>
      <x:c r="D9" s="10" t="n">
        <x:f>'Operating Build'!$D$20-'Actuals Sources'!$D$9</x:f>
        <x:v>227.06000020200005</x:v>
      </x:c>
      <x:c r="E9" s="4"/>
      <x:c r="F9" s="4"/>
      <x:c r="G9" s="4"/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h2_ebit</x:v>
      </x:c>
      <x:c r="D10" s="10" t="n">
        <x:f>'Operating Build'!$D$20*Inputs!D37-'Actuals Sources'!$D$10</x:f>
        <x:v>104.79459954700003</x:v>
      </x:c>
      <x:c r="E10" s="4"/>
      <x:c r="F10" s="4"/>
      <x:c r="G10" s="4"/>
      <x:c r="H10" s="4"/>
      <x:c r="I10" s="4"/>
      <x:c r="J10" s="1"/>
      <x:c r="K10" s="1"/>
      <x:c r="L10" s="1"/>
    </x:row>
    <x:row r="11" ht="22" customHeight="1">
      <x:c r="A11" s="1"/>
      <x:c r="B11" s="1"/>
      <x:c r="C11" s="1" t="str">
        <x:v>h2_nopat</x:v>
      </x:c>
      <x:c r="D11" s="10" t="n">
        <x:f>D10*(1-Inputs!$D$18)</x:f>
        <x:v>79.64389565572003</x:v>
      </x:c>
      <x:c r="E11" s="4"/>
      <x:c r="F11" s="4"/>
      <x:c r="G11" s="4"/>
      <x:c r="H11" s="4"/>
      <x:c r="I11" s="4"/>
      <x:c r="J11" s="1"/>
      <x:c r="K11" s="1"/>
      <x:c r="L11" s="1"/>
    </x:row>
    <x:row r="12" ht="22" customHeight="1">
      <x:c r="A12" s="1"/>
      <x:c r="B12" s="1"/>
      <x:c r="C12" s="1" t="str">
        <x:v>h2_da</x:v>
      </x:c>
      <x:c r="D12" s="10" t="n">
        <x:f>Inputs!D42-'Actuals Sources'!$D$19</x:f>
        <x:v>8.556500732</x:v>
      </x:c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h2_capex</x:v>
      </x:c>
      <x:c r="D13" s="10" t="n">
        <x:f>Inputs!D47-'Actuals Sources'!$D$20</x:f>
        <x:v>38.156820514</x:v>
      </x:c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h2_delta_nwc</x:v>
      </x:c>
      <x:c r="D14" s="10" t="n">
        <x:f>'Operating Build'!$D$20*'Operating Build'!D28-'Actuals Sources'!$D$18</x:f>
        <x:v>-18.50011453799999</x:v>
      </x:c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h2_fcff</x:v>
      </x:c>
      <x:c r="D15" s="4" t="n">
        <x:f>D11+D12-D13-D14</x:f>
        <x:v>68.54369041172002</x:v>
      </x:c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h2_interest</x:v>
      </x:c>
      <x:c r="D16" s="10" t="n">
        <x:f>D8*Inputs!$D$19*0.5</x:f>
        <x:v>3.8394115690589996</x:v>
      </x:c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h2_ni</x:v>
      </x:c>
      <x:c r="D17" s="10" t="n">
        <x:f>D11*'Actuals Sources'!D25+D16</x:f>
        <x:v>83.48330722477903</x:v>
      </x:c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h2_dividend</x:v>
      </x:c>
      <x:c r="D18" s="10" t="n">
        <x:f>Inputs!$D$20</x:f>
        <x:v>0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h2_buyback</x:v>
      </x:c>
      <x:c r="D19" s="10" t="n">
        <x:f>Inputs!$D$21</x:f>
        <x:v>0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capital</x:v>
      </x:c>
      <x:c r="D20" s="10" t="n">
        <x:f>Inputs!$D$22</x:f>
        <x:v>0</x:v>
      </x:c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netcash_2026e</x:v>
      </x:c>
      <x:c r="D21" s="4" t="n">
        <x:f>D8+D15+D16+D25-D18-D19+D20</x:f>
        <x:v>475.319151705779</x:v>
      </x:c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book_2026e</x:v>
      </x:c>
      <x:c r="D22" s="10" t="n">
        <x:f>'Actuals Sources'!$D$12+D17-D18-D19+D20</x:f>
        <x:v>860.2472238567791</x:v>
      </x:c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shares_mn</x:v>
      </x:c>
      <x:c r="D23" s="19" t="n">
        <x:f>'Actuals Sources'!$D$22+Inputs!$D$23</x:f>
        <x:v>75.8956</x:v>
      </x:c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/>
      <x:c r="D24" s="4"/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H2 accrued-expense cash adjustment</x:v>
      </x:c>
      <x:c r="D25" s="10" t="n">
        <x:f>Inputs!$D$26</x:f>
        <x:v>-23.665235726</x:v>
      </x:c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DCF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7" customHeight="1">
      <x:c r="A7" s="1"/>
      <x:c r="B7" s="1"/>
      <x:c r="C7" s="17"/>
      <x:c r="D7" s="17" t="n">
        <x:v>2027</x:v>
      </x:c>
      <x:c r="E7" s="17" t="n">
        <x:v>2028</x:v>
      </x:c>
      <x:c r="F7" s="17" t="n">
        <x:v>2029</x:v>
      </x:c>
      <x:c r="G7" s="17" t="n">
        <x:v>2030</x:v>
      </x:c>
      <x:c r="H7" s="17" t="n">
        <x:v>2031</x:v>
      </x:c>
      <x:c r="I7" s="1"/>
      <x:c r="J7" s="1"/>
      <x:c r="K7" s="1"/>
      <x:c r="L7" s="1"/>
    </x:row>
    <x:row r="8" ht="22" customHeight="1">
      <x:c r="A8" s="1"/>
      <x:c r="B8" s="1"/>
      <x:c r="C8" s="1" t="str">
        <x:v>FCFF</x:v>
      </x:c>
      <x:c r="D8" s="10" t="n">
        <x:f>Forecast!E19</x:f>
        <x:v>166.61975242230906</x:v>
      </x:c>
      <x:c r="E8" s="10" t="n">
        <x:f>Forecast!F19</x:f>
        <x:v>209.9808764228391</x:v>
      </x:c>
      <x:c r="F8" s="10" t="n">
        <x:f>Forecast!G19</x:f>
        <x:v>238.17865521641073</x:v>
      </x:c>
      <x:c r="G8" s="10" t="n">
        <x:f>Forecast!H19</x:f>
        <x:v>256.86030489456937</x:v>
      </x:c>
      <x:c r="H8" s="10" t="n">
        <x:f>Forecast!I19</x:f>
        <x:v>273.17528862532055</x:v>
      </x:c>
      <x:c r="I8" s="4"/>
      <x:c r="J8" s="1"/>
      <x:c r="K8" s="1"/>
      <x:c r="L8" s="1"/>
    </x:row>
    <x:row r="9" ht="22" customHeight="1">
      <x:c r="A9" s="1"/>
      <x:c r="B9" s="1"/>
      <x:c r="C9" s="1" t="str">
        <x:v>Years from 2026 year-end</x:v>
      </x:c>
      <x:c r="D9" s="4" t="n">
        <x:v>1</x:v>
      </x:c>
      <x:c r="E9" s="4" t="n">
        <x:v>2</x:v>
      </x:c>
      <x:c r="F9" s="4" t="n">
        <x:v>3</x:v>
      </x:c>
      <x:c r="G9" s="4" t="n">
        <x:v>4</x:v>
      </x:c>
      <x:c r="H9" s="4" t="n">
        <x:v>5</x:v>
      </x:c>
      <x:c r="I9" s="4"/>
      <x:c r="J9" s="1"/>
      <x:c r="K9" s="1"/>
      <x:c r="L9" s="1"/>
    </x:row>
    <x:row r="10" ht="22" customHeight="1">
      <x:c r="A10" s="1"/>
      <x:c r="B10" s="1"/>
      <x:c r="C10" s="1" t="str">
        <x:v>Discount factor</x:v>
      </x:c>
      <x:c r="D10" s="10" t="n">
        <x:f>1/(1+Inputs!$D$9)^D9</x:f>
        <x:v>0.9049773755656109</x:v>
      </x:c>
      <x:c r="E10" s="10" t="n">
        <x:f>1/(1+Inputs!$D$9)^E9</x:f>
        <x:v>0.8189840502856207</x:v>
      </x:c>
      <x:c r="F10" s="10" t="n">
        <x:f>1/(1+Inputs!$D$9)^F9</x:f>
        <x:v>0.7411620364575753</x:v>
      </x:c>
      <x:c r="G10" s="10" t="n">
        <x:f>1/(1+Inputs!$D$9)^G9</x:f>
        <x:v>0.6707348746222401</x:v>
      </x:c>
      <x:c r="H10" s="10" t="n">
        <x:f>1/(1+Inputs!$D$9)^H9</x:f>
        <x:v>0.6069998865359639</x:v>
      </x:c>
      <x:c r="I10" s="4"/>
      <x:c r="J10" s="1"/>
      <x:c r="K10" s="1"/>
      <x:c r="L10" s="1"/>
    </x:row>
    <x:row r="11" ht="22" customHeight="1">
      <x:c r="A11" s="1"/>
      <x:c r="B11" s="1"/>
      <x:c r="C11" s="1" t="str">
        <x:v>PV FCFF</x:v>
      </x:c>
      <x:c r="D11" s="4" t="n">
        <x:f>D8*D10</x:f>
        <x:v>150.7871062645331</x:v>
      </x:c>
      <x:c r="E11" s="4" t="n">
        <x:f>E8*E10</x:f>
        <x:v>171.97098865530117</x:v>
      </x:c>
      <x:c r="F11" s="4" t="n">
        <x:f>F8*F10</x:f>
        <x:v>176.52897714092165</x:v>
      </x:c>
      <x:c r="G11" s="4" t="n">
        <x:f>G8*G10</x:f>
        <x:v>172.28516439888935</x:v>
      </x:c>
      <x:c r="H11" s="4" t="n">
        <x:f>H8*H10</x:f>
        <x:v>165.81736919999878</x:v>
      </x:c>
      <x:c r="I11" s="4"/>
      <x:c r="J11" s="1"/>
      <x:c r="K11" s="1"/>
      <x:c r="L11" s="1"/>
    </x:row>
    <x:row r="12" ht="22" customHeight="1">
      <x:c r="A12" s="1"/>
      <x:c r="B12" s="1"/>
      <x:c r="C12" s="1"/>
      <x:c r="D12" s="4"/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/>
      <x:c r="D13" s="4"/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/>
      <x:c r="D14" s="4"/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PV explicit FCFF</x:v>
      </x:c>
      <x:c r="D15" s="4" t="n">
        <x:f>SUM(D11:H11)</x:f>
        <x:v>837.3896056596441</x:v>
      </x:c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Terminal NOPAT</x:v>
      </x:c>
      <x:c r="D16" s="10" t="n">
        <x:f>Forecast!I13*(1+Inputs!$D$11)</x:f>
        <x:v>310.158075978995</x:v>
      </x:c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Terminal FCFF</x:v>
      </x:c>
      <x:c r="D17" s="10" t="n">
        <x:f>D16*(1-Inputs!$D$11/Inputs!$D$12)</x:f>
        <x:v>258.4650633158291</x:v>
      </x:c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Terminal EV</x:v>
      </x:c>
      <x:c r="D18" s="10" t="n">
        <x:f>D17/(Inputs!$D$9-Inputs!$D$11)</x:f>
        <x:v>3230.8132914478647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PV terminal EV</x:v>
      </x:c>
      <x:c r="D19" s="10" t="n">
        <x:f>D18/(1+Inputs!$D$9)^5</x:f>
        <x:v>1961.1033013277379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Operating EV</x:v>
      </x:c>
      <x:c r="D20" s="4" t="n">
        <x:f>D15+D19</x:f>
        <x:v>2798.492906987382</x:v>
      </x:c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2026E net cash</x:v>
      </x:c>
      <x:c r="D21" s="10" t="n">
        <x:f>'Cash Equity Bridge'!D21</x:f>
        <x:v>475.319151705779</x:v>
      </x:c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Non-operating assets</x:v>
      </x:c>
      <x:c r="D22" s="10" t="n">
        <x:f>'Actuals Sources'!$D$23</x:f>
        <x:v>21.482908704</x:v>
      </x:c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NCI book proxy</x:v>
      </x:c>
      <x:c r="D23" s="10" t="n">
        <x:f>'Actuals Sources'!$D$13</x:f>
        <x:v>0</x:v>
      </x:c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Parent equity value</x:v>
      </x:c>
      <x:c r="D24" s="4" t="n">
        <x:f>D20+D21+D22-D23</x:f>
        <x:v>3295.2949673971607</x:v>
      </x:c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Shares million</x:v>
      </x:c>
      <x:c r="D25" s="10" t="n">
        <x:f>'Cash Equity Bridge'!D23</x:f>
        <x:v>75.8956</x:v>
      </x:c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 t="str">
        <x:v>DCF KRW/share</x:v>
      </x:c>
      <x:c r="D26" s="4" t="n">
        <x:f>D24*1000/D25</x:f>
        <x:v>43418.78801138881</x:v>
      </x:c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 t="str">
        <x:v>Terminal / EV</x:v>
      </x:c>
      <x:c r="D27" s="5" t="n">
        <x:f>D19/D20</x:f>
        <x:v>0.7007712245513225</x:v>
      </x:c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RIM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7" customHeight="1">
      <x:c r="A7" s="1"/>
      <x:c r="B7" s="1"/>
      <x:c r="C7" s="17"/>
      <x:c r="D7" s="17" t="n">
        <x:v>2027</x:v>
      </x:c>
      <x:c r="E7" s="17" t="n">
        <x:v>2028</x:v>
      </x:c>
      <x:c r="F7" s="17" t="n">
        <x:v>2029</x:v>
      </x:c>
      <x:c r="G7" s="17" t="n">
        <x:v>2030</x:v>
      </x:c>
      <x:c r="H7" s="17" t="n">
        <x:v>2031</x:v>
      </x:c>
      <x:c r="I7" s="1"/>
      <x:c r="J7" s="1"/>
      <x:c r="K7" s="1"/>
      <x:c r="L7" s="1"/>
    </x:row>
    <x:row r="8" ht="22" customHeight="1">
      <x:c r="A8" s="1"/>
      <x:c r="B8" s="1"/>
      <x:c r="C8" s="1" t="str">
        <x:v>Beginning parent book</x:v>
      </x:c>
      <x:c r="D8" s="10" t="n">
        <x:f>Forecast!E23</x:f>
        <x:v>860.2472238567791</x:v>
      </x:c>
      <x:c r="E8" s="10" t="n">
        <x:f>Forecast!F23</x:f>
        <x:v>1000.7471420482916</x:v>
      </x:c>
      <x:c r="F8" s="10" t="n">
        <x:f>Forecast!G23</x:f>
        <x:v>1167.8277843696676</x:v>
      </x:c>
      <x:c r="G8" s="10" t="n">
        <x:f>Forecast!H23</x:f>
        <x:v>1350.225745310837</x:v>
      </x:c>
      <x:c r="H8" s="10" t="n">
        <x:f>Forecast!I23</x:f>
        <x:v>1542.1447057374723</x:v>
      </x:c>
      <x:c r="I8" s="4"/>
      <x:c r="J8" s="1"/>
      <x:c r="K8" s="1"/>
      <x:c r="L8" s="1"/>
    </x:row>
    <x:row r="9" ht="22" customHeight="1">
      <x:c r="A9" s="1"/>
      <x:c r="B9" s="1"/>
      <x:c r="C9" s="1" t="str">
        <x:v>Parent NI</x:v>
      </x:c>
      <x:c r="D9" s="10" t="n">
        <x:f>Forecast!E21</x:f>
        <x:v>216.42067399342406</x:v>
      </x:c>
      <x:c r="E9" s="10" t="n">
        <x:f>Forecast!F21</x:f>
        <x:v>253.64891191874565</x:v>
      </x:c>
      <x:c r="F9" s="10" t="n">
        <x:f>Forecast!G21</x:f>
        <x:v>283.8575257086677</x:v>
      </x:c>
      <x:c r="G9" s="10" t="n">
        <x:f>Forecast!H21</x:f>
        <x:v>305.4619707101023</x:v>
      </x:c>
      <x:c r="H9" s="10" t="n">
        <x:f>Forecast!I21</x:f>
        <x:v>320.89124376872326</x:v>
      </x:c>
      <x:c r="I9" s="4"/>
      <x:c r="J9" s="1"/>
      <x:c r="K9" s="1"/>
      <x:c r="L9" s="1"/>
    </x:row>
    <x:row r="10" ht="22" customHeight="1">
      <x:c r="A10" s="1"/>
      <x:c r="B10" s="1"/>
      <x:c r="C10" s="1" t="str">
        <x:v>Cost of equity</x:v>
      </x:c>
      <x:c r="D10" s="11" t="n">
        <x:f>Inputs!$D$10</x:f>
        <x:v>0.105</x:v>
      </x:c>
      <x:c r="E10" s="11" t="n">
        <x:f>Inputs!$D$10</x:f>
        <x:v>0.105</x:v>
      </x:c>
      <x:c r="F10" s="11" t="n">
        <x:f>Inputs!$D$10</x:f>
        <x:v>0.105</x:v>
      </x:c>
      <x:c r="G10" s="11" t="n">
        <x:f>Inputs!$D$10</x:f>
        <x:v>0.105</x:v>
      </x:c>
      <x:c r="H10" s="11" t="n">
        <x:f>Inputs!$D$10</x:f>
        <x:v>0.105</x:v>
      </x:c>
      <x:c r="I10" s="4"/>
      <x:c r="J10" s="1"/>
      <x:c r="K10" s="1"/>
      <x:c r="L10" s="1"/>
    </x:row>
    <x:row r="11" ht="22" customHeight="1">
      <x:c r="A11" s="1"/>
      <x:c r="B11" s="1"/>
      <x:c r="C11" s="1" t="str">
        <x:v>Equity charge</x:v>
      </x:c>
      <x:c r="D11" s="4" t="n">
        <x:f>D8*D10</x:f>
        <x:v>90.3259585049618</x:v>
      </x:c>
      <x:c r="E11" s="4" t="n">
        <x:f>E8*E10</x:f>
        <x:v>105.07844991507062</x:v>
      </x:c>
      <x:c r="F11" s="4" t="n">
        <x:f>F8*F10</x:f>
        <x:v>122.6219173588151</x:v>
      </x:c>
      <x:c r="G11" s="4" t="n">
        <x:f>G8*G10</x:f>
        <x:v>141.7737032576379</x:v>
      </x:c>
      <x:c r="H11" s="4" t="n">
        <x:f>H8*H10</x:f>
        <x:v>161.9251941024346</x:v>
      </x:c>
      <x:c r="I11" s="4"/>
      <x:c r="J11" s="1"/>
      <x:c r="K11" s="1"/>
      <x:c r="L11" s="1"/>
    </x:row>
    <x:row r="12" ht="22" customHeight="1">
      <x:c r="A12" s="1"/>
      <x:c r="B12" s="1"/>
      <x:c r="C12" s="1" t="str">
        <x:v>Residual income</x:v>
      </x:c>
      <x:c r="D12" s="4" t="n">
        <x:f>D9-D11</x:f>
        <x:v>126.09471548846226</x:v>
      </x:c>
      <x:c r="E12" s="4" t="n">
        <x:f>E9-E11</x:f>
        <x:v>148.57046200367503</x:v>
      </x:c>
      <x:c r="F12" s="4" t="n">
        <x:f>F9-F11</x:f>
        <x:v>161.2356083498526</x:v>
      </x:c>
      <x:c r="G12" s="4" t="n">
        <x:f>G9-G11</x:f>
        <x:v>163.68826745246443</x:v>
      </x:c>
      <x:c r="H12" s="4" t="n">
        <x:f>H9-H11</x:f>
        <x:v>158.96604966628865</x:v>
      </x:c>
      <x:c r="I12" s="4"/>
      <x:c r="J12" s="1"/>
      <x:c r="K12" s="1"/>
      <x:c r="L12" s="1"/>
    </x:row>
    <x:row r="13" ht="22" customHeight="1">
      <x:c r="A13" s="1"/>
      <x:c r="B13" s="1"/>
      <x:c r="C13" s="1" t="str">
        <x:v>Years</x:v>
      </x:c>
      <x:c r="D13" s="4" t="n">
        <x:v>1</x:v>
      </x:c>
      <x:c r="E13" s="4" t="n">
        <x:v>2</x:v>
      </x:c>
      <x:c r="F13" s="4" t="n">
        <x:v>3</x:v>
      </x:c>
      <x:c r="G13" s="4" t="n">
        <x:v>4</x:v>
      </x:c>
      <x:c r="H13" s="4" t="n">
        <x:v>5</x:v>
      </x:c>
      <x:c r="I13" s="4"/>
      <x:c r="J13" s="1"/>
      <x:c r="K13" s="1"/>
      <x:c r="L13" s="1"/>
    </x:row>
    <x:row r="14" ht="22" customHeight="1">
      <x:c r="A14" s="1"/>
      <x:c r="B14" s="1"/>
      <x:c r="C14" s="1" t="str">
        <x:v>PV residual income</x:v>
      </x:c>
      <x:c r="D14" s="4" t="n">
        <x:f>D12/(1+D10)^D13</x:f>
        <x:v>114.11286469544096</x:v>
      </x:c>
      <x:c r="E14" s="4" t="n">
        <x:f>E12/(1+E10)^E13</x:f>
        <x:v>121.67683872457569</x:v>
      </x:c>
      <x:c r="F14" s="4" t="n">
        <x:f>F12/(1+F10)^F13</x:f>
        <x:v>119.5017118340528</x:v>
      </x:c>
      <x:c r="G14" s="4" t="n">
        <x:f>G12/(1+G10)^G13</x:f>
        <x:v>109.79142954686044</x:v>
      </x:c>
      <x:c r="H14" s="4" t="n">
        <x:f>H12/(1+H10)^H13</x:f>
        <x:v>96.49237411050761</x:v>
      </x:c>
      <x:c r="I14" s="4"/>
      <x:c r="J14" s="1"/>
      <x:c r="K14" s="1"/>
      <x:c r="L14" s="1"/>
    </x:row>
    <x:row r="15" ht="22" customHeight="1">
      <x:c r="A15" s="1"/>
      <x:c r="B15" s="1"/>
      <x:c r="C15" s="1" t="str">
        <x:v>Ending parent book</x:v>
      </x:c>
      <x:c r="D15" s="10" t="n">
        <x:f>Forecast!E25</x:f>
        <x:v>1000.7471420482916</x:v>
      </x:c>
      <x:c r="E15" s="10" t="n">
        <x:f>Forecast!F25</x:f>
        <x:v>1167.8277843696676</x:v>
      </x:c>
      <x:c r="F15" s="10" t="n">
        <x:f>Forecast!G25</x:f>
        <x:v>1350.225745310837</x:v>
      </x:c>
      <x:c r="G15" s="10" t="n">
        <x:f>Forecast!H25</x:f>
        <x:v>1542.1447057374723</x:v>
      </x:c>
      <x:c r="H15" s="10" t="n">
        <x:f>Forecast!I25</x:f>
        <x:v>1740.8511612221548</x:v>
      </x:c>
      <x:c r="I15" s="4"/>
      <x:c r="J15" s="1"/>
      <x:c r="K15" s="1"/>
      <x:c r="L15" s="1"/>
    </x:row>
    <x:row r="16" ht="22" customHeight="1">
      <x:c r="A16" s="1"/>
      <x:c r="B16" s="1"/>
      <x:c r="C16" s="1"/>
      <x:c r="D16" s="4"/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/>
      <x:c r="D17" s="4"/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2026E parent book</x:v>
      </x:c>
      <x:c r="D18" s="10" t="n">
        <x:f>'Cash Equity Bridge'!D22</x:f>
        <x:v>860.2472238567791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PV explicit RI</x:v>
      </x:c>
      <x:c r="D19" s="4" t="n">
        <x:f>SUM(D14:H14)</x:f>
        <x:v>561.5752189114374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2032 residual income</x:v>
      </x:c>
      <x:c r="D20" s="10" t="n">
        <x:f>(Inputs!$D$13-Inputs!$D$10)*Forecast!I25</x:f>
        <x:v>26.11276741833232</x:v>
      </x:c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PV terminal RI</x:v>
      </x:c>
      <x:c r="D21" s="10" t="n">
        <x:f>D20/(Inputs!$D$10-Inputs!$D$11)/(1+Inputs!$D$10)^5</x:f>
        <x:v>198.1305857508467</x:v>
      </x:c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Parent equity value</x:v>
      </x:c>
      <x:c r="D22" s="4" t="n">
        <x:f>D18+D19+D21</x:f>
        <x:v>1619.9530285190633</x:v>
      </x:c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Shares million</x:v>
      </x:c>
      <x:c r="D23" s="10" t="n">
        <x:f>'Cash Equity Bridge'!D23</x:f>
        <x:v>75.8956</x:v>
      </x:c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RIM KRW/share</x:v>
      </x:c>
      <x:c r="D24" s="4" t="n">
        <x:f>D22*1000/D23</x:f>
        <x:v>21344.492019551373</x:v>
      </x:c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DDM identity difference</x:v>
      </x:c>
      <x:c r="D25" s="19" t="n">
        <x:f>D22-(Forecast!E24/(1+Inputs!$D$10)+Forecast!F24/(1+Inputs!$D$10)^2+Forecast!G24/(1+Inputs!$D$10)^3+Forecast!H24/(1+Inputs!$D$10)^4+Forecast!I24/(1+Inputs!$D$10)^5+(Forecast!I25+D20/(Inputs!$D$10-Inputs!$D$11))/(1+Inputs!$D$10)^5)</x:f>
        <x:v>0</x:v>
      </x:c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PER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2" customHeight="1">
      <x:c r="A8" s="1"/>
      <x:c r="B8" s="1"/>
      <x:c r="C8" s="1" t="str">
        <x:v>2027 revenue</x:v>
      </x:c>
      <x:c r="D8" s="10" t="n">
        <x:f>Forecast!E8</x:f>
        <x:v>569.8051789000001</x:v>
      </x:c>
      <x:c r="E8" s="4"/>
      <x:c r="F8" s="4"/>
      <x:c r="G8" s="4"/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Normalized operating margin</x:v>
      </x:c>
      <x:c r="D9" s="11" t="n">
        <x:f>Inputs!$D$17</x:f>
        <x:v>0.45</x:v>
      </x:c>
      <x:c r="E9" s="4"/>
      <x:c r="F9" s="4"/>
      <x:c r="G9" s="4"/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Normalized NOPAT</x:v>
      </x:c>
      <x:c r="D10" s="10" t="n">
        <x:f>D8*D9*(1-Forecast!E12)</x:f>
        <x:v>194.87337118380003</x:v>
      </x:c>
      <x:c r="E10" s="4"/>
      <x:c r="F10" s="4"/>
      <x:c r="G10" s="4"/>
      <x:c r="H10" s="4"/>
      <x:c r="I10" s="4"/>
      <x:c r="J10" s="1"/>
      <x:c r="K10" s="1"/>
      <x:c r="L10" s="1"/>
    </x:row>
    <x:row r="11" ht="22" customHeight="1">
      <x:c r="A11" s="1"/>
      <x:c r="B11" s="1"/>
      <x:c r="C11" s="1" t="str">
        <x:v>Parent allocation</x:v>
      </x:c>
      <x:c r="D11" s="10" t="n">
        <x:f>Forecast!E27</x:f>
        <x:v>1</x:v>
      </x:c>
      <x:c r="E11" s="4"/>
      <x:c r="F11" s="4"/>
      <x:c r="G11" s="4"/>
      <x:c r="H11" s="4"/>
      <x:c r="I11" s="4"/>
      <x:c r="J11" s="1"/>
      <x:c r="K11" s="1"/>
      <x:c r="L11" s="1"/>
    </x:row>
    <x:row r="12" ht="22" customHeight="1">
      <x:c r="A12" s="1"/>
      <x:c r="B12" s="1"/>
      <x:c r="C12" s="1" t="str">
        <x:v>Parent operating NI</x:v>
      </x:c>
      <x:c r="D12" s="4" t="n">
        <x:f>D10*D11</x:f>
        <x:v>194.87337118380003</x:v>
      </x:c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Cash return</x:v>
      </x:c>
      <x:c r="D13" s="10" t="n">
        <x:f>'Cash Equity Bridge'!D21*Inputs!$D$19</x:f>
        <x:v>8.55574473070402</x:v>
      </x:c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Normalized parent NI</x:v>
      </x:c>
      <x:c r="D14" s="4" t="n">
        <x:f>D12+D13</x:f>
        <x:v>203.42911591450405</x:v>
      </x:c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Normalized EPS</x:v>
      </x:c>
      <x:c r="D15" s="10" t="n">
        <x:f>D14*1000/'Cash Equity Bridge'!D23</x:f>
        <x:v>2680.3808905193982</x:v>
      </x:c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/>
      <x:c r="D16" s="4"/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/>
      <x:c r="D17" s="4"/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EPS growth 5 years</x:v>
      </x:c>
      <x:c r="D18" s="11" t="n">
        <x:f>Inputs!$D$15</x:f>
        <x:v>0.12</x:v>
      </x:c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Incremental ROE</x:v>
      </x:c>
      <x:c r="D19" s="11" t="n">
        <x:f>Inputs!$D$16</x:f>
        <x:v>0.3</x:v>
      </x:c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Growth phase payout</x:v>
      </x:c>
      <x:c r="D20" s="5" t="n">
        <x:f>1-D18/D19</x:f>
        <x:v>0.6</x:v>
      </x:c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Stable growth</x:v>
      </x:c>
      <x:c r="D21" s="11" t="n">
        <x:f>Inputs!$D$11</x:f>
        <x:v>0.025</x:v>
      </x:c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Stable ROE</x:v>
      </x:c>
      <x:c r="D22" s="11" t="n">
        <x:f>Inputs!$D$13</x:f>
        <x:v>0.12</x:v>
      </x:c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Cost of equity</x:v>
      </x:c>
      <x:c r="D23" s="11" t="n">
        <x:f>Inputs!$D$10</x:f>
        <x:v>0.105</x:v>
      </x:c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Stable payout</x:v>
      </x:c>
      <x:c r="D24" s="5" t="n">
        <x:f>1-D21/D22</x:f>
        <x:v>0.7916666666666666</x:v>
      </x:c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Terminal forward PE</x:v>
      </x:c>
      <x:c r="D25" s="4" t="n">
        <x:f>D24/(D23-D21)</x:f>
        <x:v>9.895833333333334</x:v>
      </x:c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7" customHeight="1">
      <x:c r="A29" s="1"/>
      <x:c r="B29" s="1"/>
      <x:c r="C29" s="17"/>
      <x:c r="D29" s="18" t="n">
        <x:v>2027</x:v>
      </x:c>
      <x:c r="E29" s="18" t="n">
        <x:v>2028</x:v>
      </x:c>
      <x:c r="F29" s="18" t="n">
        <x:v>2029</x:v>
      </x:c>
      <x:c r="G29" s="18" t="n">
        <x:v>2030</x:v>
      </x:c>
      <x:c r="H29" s="18" t="n">
        <x:v>2031</x:v>
      </x:c>
      <x:c r="I29" s="4"/>
      <x:c r="J29" s="1"/>
      <x:c r="K29" s="1"/>
      <x:c r="L29" s="1"/>
    </x:row>
    <x:row r="30" ht="22" customHeight="1">
      <x:c r="A30" s="1"/>
      <x:c r="B30" s="1"/>
      <x:c r="C30" s="1" t="str">
        <x:v>EPS / EPS_2027</x:v>
      </x:c>
      <x:c r="D30" s="4" t="n">
        <x:f>(1+$D$18)^0</x:f>
        <x:v>1</x:v>
      </x:c>
      <x:c r="E30" s="4" t="n">
        <x:f>(1+$D$18)^1</x:f>
        <x:v>1.12</x:v>
      </x:c>
      <x:c r="F30" s="4" t="n">
        <x:f>(1+$D$18)^2</x:f>
        <x:v>1.2544000000000002</x:v>
      </x:c>
      <x:c r="G30" s="4" t="n">
        <x:f>(1+$D$18)^3</x:f>
        <x:v>1.4049280000000004</x:v>
      </x:c>
      <x:c r="H30" s="4" t="n">
        <x:f>(1+$D$18)^4</x:f>
        <x:v>1.5735193600000006</x:v>
      </x:c>
      <x:c r="I30" s="4"/>
      <x:c r="J30" s="1"/>
      <x:c r="K30" s="1"/>
      <x:c r="L30" s="1"/>
    </x:row>
    <x:row r="31" ht="22" customHeight="1">
      <x:c r="A31" s="1"/>
      <x:c r="B31" s="1"/>
      <x:c r="C31" s="1" t="str">
        <x:v>Payout</x:v>
      </x:c>
      <x:c r="D31" s="4" t="n">
        <x:f>$D$20</x:f>
        <x:v>0.6</x:v>
      </x:c>
      <x:c r="E31" s="4" t="n">
        <x:f>$D$20</x:f>
        <x:v>0.6</x:v>
      </x:c>
      <x:c r="F31" s="4" t="n">
        <x:f>$D$20</x:f>
        <x:v>0.6</x:v>
      </x:c>
      <x:c r="G31" s="4" t="n">
        <x:f>$D$20</x:f>
        <x:v>0.6</x:v>
      </x:c>
      <x:c r="H31" s="4" t="n">
        <x:f>$D$20</x:f>
        <x:v>0.6</x:v>
      </x:c>
      <x:c r="I31" s="4"/>
      <x:c r="J31" s="1"/>
      <x:c r="K31" s="1"/>
      <x:c r="L31" s="1"/>
    </x:row>
    <x:row r="32" ht="22" customHeight="1">
      <x:c r="A32" s="1"/>
      <x:c r="B32" s="1"/>
      <x:c r="C32" s="1" t="str">
        <x:v>Discount factor</x:v>
      </x:c>
      <x:c r="D32" s="4" t="n">
        <x:f>1/(1+$D$23)^1</x:f>
        <x:v>0.9049773755656109</x:v>
      </x:c>
      <x:c r="E32" s="4" t="n">
        <x:f>1/(1+$D$23)^2</x:f>
        <x:v>0.8189840502856207</x:v>
      </x:c>
      <x:c r="F32" s="4" t="n">
        <x:f>1/(1+$D$23)^3</x:f>
        <x:v>0.7411620364575753</x:v>
      </x:c>
      <x:c r="G32" s="4" t="n">
        <x:f>1/(1+$D$23)^4</x:f>
        <x:v>0.6707348746222401</x:v>
      </x:c>
      <x:c r="H32" s="4" t="n">
        <x:f>1/(1+$D$23)^5</x:f>
        <x:v>0.6069998865359639</x:v>
      </x:c>
      <x:c r="I32" s="4"/>
      <x:c r="J32" s="1"/>
      <x:c r="K32" s="1"/>
      <x:c r="L32" s="1"/>
    </x:row>
    <x:row r="33" ht="22" customHeight="1">
      <x:c r="A33" s="1"/>
      <x:c r="B33" s="1"/>
      <x:c r="C33" s="1" t="str">
        <x:v>PV payout / EPS_2027</x:v>
      </x:c>
      <x:c r="D33" s="4" t="n">
        <x:f>D30*D31*D32</x:f>
        <x:v>0.5429864253393665</x:v>
      </x:c>
      <x:c r="E33" s="4" t="n">
        <x:f>E30*E31*E32</x:f>
        <x:v>0.5503572817919371</x:v>
      </x:c>
      <x:c r="F33" s="4" t="n">
        <x:f>F30*F31*F32</x:f>
        <x:v>0.5578281951194295</x:v>
      </x:c>
      <x:c r="G33" s="4" t="n">
        <x:f>G30*G31*G32</x:f>
        <x:v>0.5654005235599648</x:v>
      </x:c>
      <x:c r="H33" s="4" t="n">
        <x:f>H30*H31*H32</x:f>
        <x:v>0.5730756437892857</x:v>
      </x:c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 t="str">
        <x:v>PV payout / EPS_2027</x:v>
      </x:c>
      <x:c r="D36" s="4" t="n">
        <x:f>SUM(D33:H33)</x:f>
        <x:v>2.7896480695999837</x:v>
      </x:c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 t="str">
        <x:v>PV terminal / EPS_2027</x:v>
      </x:c>
      <x:c r="D37" s="4" t="n">
        <x:f>H30*(1+D21)*D25/(1+D23)^5</x:f>
        <x:v>9.688062641316268</x:v>
      </x:c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 t="str">
        <x:v>Justified forward PER</x:v>
      </x:c>
      <x:c r="D38" s="4" t="n">
        <x:f>D36+D37</x:f>
        <x:v>12.477710710916252</x:v>
      </x:c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 t="str">
        <x:v>PER KRW/share</x:v>
      </x:c>
      <x:c r="D39" s="4" t="n">
        <x:f>D15*D38</x:f>
        <x:v>33445.017346969136</x:v>
      </x:c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 t="str">
        <x:v>Excess-growth years</x:v>
      </x:c>
      <x:c r="D44" s="4" t="str">
        <x:v>Justified PER</x:v>
      </x:c>
      <x:c r="E44" s="4" t="str">
        <x:v>KRW/share</x:v>
      </x:c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 t="n">
        <x:v>3</x:v>
      </x:c>
      <x:c r="D45" s="10" t="n">
        <x:f>(1+Inputs!$D$15)^0*(1-Inputs!$D$15/Inputs!$D$16)/(1+Inputs!$D$10)^1+(1+Inputs!$D$15)^1*(1-Inputs!$D$15/Inputs!$D$16)/(1+Inputs!$D$10)^2+(1+Inputs!$D$15)^2*(1-Inputs!$D$15/Inputs!$D$16)/(1+Inputs!$D$10)^3+(1+Inputs!$D$15)^2*(1+Inputs!$D$11)*(1-Inputs!$D$11/Inputs!$D$13)/(Inputs!$D$10-Inputs!$D$11)/(1+Inputs!$D$10)^3</x:f>
        <x:v>11.081470600124769</x:v>
      </x:c>
      <x:c r="E45" s="4" t="n">
        <x:f>D45*$D$15</x:f>
        <x:v>29702.56203542696</x:v>
      </x:c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 t="n">
        <x:v>5</x:v>
      </x:c>
      <x:c r="D46" s="10" t="n">
        <x:f>(1+Inputs!$D$15)^0*(1-Inputs!$D$15/Inputs!$D$16)/(1+Inputs!$D$10)^1+(1+Inputs!$D$15)^1*(1-Inputs!$D$15/Inputs!$D$16)/(1+Inputs!$D$10)^2+(1+Inputs!$D$15)^2*(1-Inputs!$D$15/Inputs!$D$16)/(1+Inputs!$D$10)^3+(1+Inputs!$D$15)^3*(1-Inputs!$D$15/Inputs!$D$16)/(1+Inputs!$D$10)^4+(1+Inputs!$D$15)^4*(1-Inputs!$D$15/Inputs!$D$16)/(1+Inputs!$D$10)^5+(1+Inputs!$D$15)^4*(1+Inputs!$D$11)*(1-Inputs!$D$11/Inputs!$D$13)/(Inputs!$D$10-Inputs!$D$11)/(1+Inputs!$D$10)^5</x:f>
        <x:v>12.477710710916252</x:v>
      </x:c>
      <x:c r="E46" s="4" t="n">
        <x:f>D46*$D$15</x:f>
        <x:v>33445.017346969136</x:v>
      </x:c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 t="n">
        <x:v>7</x:v>
      </x:c>
      <x:c r="D47" s="10" t="n">
        <x:f>(1+Inputs!$D$15)^0*(1-Inputs!$D$15/Inputs!$D$16)/(1+Inputs!$D$10)^1+(1+Inputs!$D$15)^1*(1-Inputs!$D$15/Inputs!$D$16)/(1+Inputs!$D$10)^2+(1+Inputs!$D$15)^2*(1-Inputs!$D$15/Inputs!$D$16)/(1+Inputs!$D$10)^3+(1+Inputs!$D$15)^3*(1-Inputs!$D$15/Inputs!$D$16)/(1+Inputs!$D$10)^4+(1+Inputs!$D$15)^4*(1-Inputs!$D$15/Inputs!$D$16)/(1+Inputs!$D$10)^5+(1+Inputs!$D$15)^5*(1-Inputs!$D$15/Inputs!$D$16)/(1+Inputs!$D$10)^6+(1+Inputs!$D$15)^6*(1-Inputs!$D$15/Inputs!$D$16)/(1+Inputs!$D$10)^7+(1+Inputs!$D$15)^6*(1+Inputs!$D$11)*(1-Inputs!$D$11/Inputs!$D$13)/(Inputs!$D$10-Inputs!$D$11)/(1+Inputs!$D$10)^7</x:f>
        <x:v>13.912115080177184</x:v>
      </x:c>
      <x:c r="E47" s="4" t="n">
        <x:f>D47*$D$15</x:f>
        <x:v>37289.76740761367</x:v>
      </x:c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 t="n">
        <x:v>10</x:v>
      </x:c>
      <x:c r="D48" s="10" t="n">
        <x:f>(1+Inputs!$D$15)^0*(1-Inputs!$D$15/Inputs!$D$16)/(1+Inputs!$D$10)^1+(1+Inputs!$D$15)^1*(1-Inputs!$D$15/Inputs!$D$16)/(1+Inputs!$D$10)^2+(1+Inputs!$D$15)^2*(1-Inputs!$D$15/Inputs!$D$16)/(1+Inputs!$D$10)^3+(1+Inputs!$D$15)^3*(1-Inputs!$D$15/Inputs!$D$16)/(1+Inputs!$D$10)^4+(1+Inputs!$D$15)^4*(1-Inputs!$D$15/Inputs!$D$16)/(1+Inputs!$D$10)^5+(1+Inputs!$D$15)^5*(1-Inputs!$D$15/Inputs!$D$16)/(1+Inputs!$D$10)^6+(1+Inputs!$D$15)^6*(1-Inputs!$D$15/Inputs!$D$16)/(1+Inputs!$D$10)^7+(1+Inputs!$D$15)^7*(1-Inputs!$D$15/Inputs!$D$16)/(1+Inputs!$D$10)^8+(1+Inputs!$D$15)^8*(1-Inputs!$D$15/Inputs!$D$16)/(1+Inputs!$D$10)^9+(1+Inputs!$D$15)^9*(1-Inputs!$D$15/Inputs!$D$16)/(1+Inputs!$D$10)^10+(1+Inputs!$D$15)^9*(1+Inputs!$D$11)*(1-Inputs!$D$11/Inputs!$D$13)/(Inputs!$D$10-Inputs!$D$11)/(1+Inputs!$D$10)^10</x:f>
        <x:v>16.13756932045961</x:v>
      </x:c>
      <x:c r="E48" s="4" t="n">
        <x:f>D48*$D$15</x:f>
        <x:v>43254.83242599205</x:v>
      </x:c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 t="n">
        <x:v>15</x:v>
      </x:c>
      <x:c r="D49" s="10" t="n">
        <x:f>(1+Inputs!$D$15)^0*(1-Inputs!$D$15/Inputs!$D$16)/(1+Inputs!$D$10)^1+(1+Inputs!$D$15)^1*(1-Inputs!$D$15/Inputs!$D$16)/(1+Inputs!$D$10)^2+(1+Inputs!$D$15)^2*(1-Inputs!$D$15/Inputs!$D$16)/(1+Inputs!$D$10)^3+(1+Inputs!$D$15)^3*(1-Inputs!$D$15/Inputs!$D$16)/(1+Inputs!$D$10)^4+(1+Inputs!$D$15)^4*(1-Inputs!$D$15/Inputs!$D$16)/(1+Inputs!$D$10)^5+(1+Inputs!$D$15)^5*(1-Inputs!$D$15/Inputs!$D$16)/(1+Inputs!$D$10)^6+(1+Inputs!$D$15)^6*(1-Inputs!$D$15/Inputs!$D$16)/(1+Inputs!$D$10)^7+(1+Inputs!$D$15)^7*(1-Inputs!$D$15/Inputs!$D$16)/(1+Inputs!$D$10)^8+(1+Inputs!$D$15)^8*(1-Inputs!$D$15/Inputs!$D$16)/(1+Inputs!$D$10)^9+(1+Inputs!$D$15)^9*(1-Inputs!$D$15/Inputs!$D$16)/(1+Inputs!$D$10)^10+(1+Inputs!$D$15)^10*(1-Inputs!$D$15/Inputs!$D$16)/(1+Inputs!$D$10)^11+(1+Inputs!$D$15)^11*(1-Inputs!$D$15/Inputs!$D$16)/(1+Inputs!$D$10)^12+(1+Inputs!$D$15)^12*(1-Inputs!$D$15/Inputs!$D$16)/(1+Inputs!$D$10)^13+(1+Inputs!$D$15)^13*(1-Inputs!$D$15/Inputs!$D$16)/(1+Inputs!$D$10)^14+(1+Inputs!$D$15)^14*(1-Inputs!$D$15/Inputs!$D$16)/(1+Inputs!$D$10)^15+(1+Inputs!$D$15)^14*(1+Inputs!$D$11)*(1-Inputs!$D$11/Inputs!$D$13)/(Inputs!$D$10-Inputs!$D$11)/(1+Inputs!$D$10)^15</x:f>
        <x:v>20.052670867631</x:v>
      </x:c>
      <x:c r="E49" s="4" t="n">
        <x:f>D49*$D$15</x:f>
        <x:v>53748.795797473176</x:v>
      </x:c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20" hidden="0" customWidth="1"/>
    <x:col min="5" max="5" width="17" hidden="0" customWidth="1"/>
    <x:col min="6" max="6" width="65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Diagnostics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3" t="str">
        <x:v>Economic assumption review</x:v>
      </x:c>
      <x:c r="D7" s="13" t="str">
        <x:v>Active case</x:v>
      </x:c>
      <x:c r="E7" s="1"/>
      <x:c r="F7" s="1"/>
      <x:c r="G7" s="1"/>
      <x:c r="H7" s="1"/>
      <x:c r="I7" s="1"/>
      <x:c r="J7" s="1"/>
      <x:c r="K7" s="1"/>
      <x:c r="L7" s="1"/>
    </x:row>
    <x:row r="8" ht="29" customHeight="1">
      <x:c r="A8" s="1"/>
      <x:c r="B8" s="1"/>
      <x:c r="C8" s="1" t="str">
        <x:v>2031 reinvestment / NOPAT</x:v>
      </x:c>
      <x:c r="D8" s="11" t="n">
        <x:f>(Forecast!I15-Forecast!I14+Forecast!I18)/Forecast!I13</x:f>
        <x:v>0.09721947443368696</x:v>
      </x:c>
      <x:c r="E8" s="4"/>
      <x:c r="F8" s="23" t="str">
        <x:v>Conditional stresses; main Base inputs remain selected.</x:v>
      </x:c>
      <x:c r="G8" s="4"/>
      <x:c r="H8" s="4"/>
      <x:c r="I8" s="4"/>
      <x:c r="J8" s="1"/>
      <x:c r="K8" s="1"/>
      <x:c r="L8" s="1"/>
    </x:row>
    <x:row r="9" ht="29" customHeight="1">
      <x:c r="A9" s="1"/>
      <x:c r="B9" s="1"/>
      <x:c r="C9" s="1" t="str">
        <x:v>2032 reinvestment / NOPAT</x:v>
      </x:c>
      <x:c r="D9" s="11" t="n">
        <x:f>Inputs!$D$11/Inputs!$D$12</x:f>
        <x:v>0.16666666666666669</x:v>
      </x:c>
      <x:c r="E9" s="4"/>
      <x:c r="F9" s="23"/>
      <x:c r="G9" s="4"/>
      <x:c r="H9" s="4"/>
      <x:c r="I9" s="4"/>
      <x:c r="J9" s="1"/>
      <x:c r="K9" s="1"/>
      <x:c r="L9" s="1"/>
    </x:row>
    <x:row r="10" ht="29" customHeight="1">
      <x:c r="A10" s="1"/>
      <x:c r="B10" s="1"/>
      <x:c r="C10" s="1" t="str">
        <x:v>FCFF 2032 / 2031 - 1</x:v>
      </x:c>
      <x:c r="D10" s="11" t="n">
        <x:f>DCF!D17/Forecast!I19-1</x:f>
        <x:v>-0.0538490336498465</x:v>
      </x:c>
      <x:c r="E10" s="4"/>
      <x:c r="F10" s="23" t="str">
        <x:v>2032 investment transition can change FCFF discontinuously.</x:v>
      </x:c>
      <x:c r="G10" s="4"/>
      <x:c r="H10" s="4"/>
      <x:c r="I10" s="4"/>
      <x:c r="J10" s="1"/>
      <x:c r="K10" s="1"/>
      <x:c r="L10" s="1"/>
    </x:row>
    <x:row r="11" ht="29" customHeight="1">
      <x:c r="A11" s="1"/>
      <x:c r="B11" s="1"/>
      <x:c r="C11" s="1" t="str">
        <x:v>2031 parent ROE</x:v>
      </x:c>
      <x:c r="D11" s="11" t="n">
        <x:f>RIM!H9/RIM!H8</x:f>
        <x:v>0.20808114995620283</x:v>
      </x:c>
      <x:c r="E11" s="4"/>
      <x:c r="F11" s="23"/>
      <x:c r="G11" s="4"/>
      <x:c r="H11" s="4"/>
      <x:c r="I11" s="4"/>
      <x:c r="J11" s="1"/>
      <x:c r="K11" s="1"/>
      <x:c r="L11" s="1"/>
    </x:row>
    <x:row r="12" ht="29" customHeight="1">
      <x:c r="A12" s="1"/>
      <x:c r="B12" s="1"/>
      <x:c r="C12" s="1" t="str">
        <x:v>2032 assumed parent ROE</x:v>
      </x:c>
      <x:c r="D12" s="11" t="n">
        <x:f>Inputs!$D$13</x:f>
        <x:v>0.12</x:v>
      </x:c>
      <x:c r="E12" s="4"/>
      <x:c r="F12" s="23"/>
      <x:c r="G12" s="4"/>
      <x:c r="H12" s="4"/>
      <x:c r="I12" s="4"/>
      <x:c r="J12" s="1"/>
      <x:c r="K12" s="1"/>
      <x:c r="L12" s="1"/>
    </x:row>
    <x:row r="13" ht="29" customHeight="1">
      <x:c r="A13" s="1"/>
      <x:c r="B13" s="1"/>
      <x:c r="C13" s="1" t="str">
        <x:v>2031 net cash proxy capped at book</x:v>
      </x:c>
      <x:c r="D13" s="10" t="n">
        <x:f>MIN(MAX(Forecast!I26,0),Forecast!I25)</x:f>
        <x:v>1185.8439943172873</x:v>
      </x:c>
      <x:c r="E13" s="4"/>
      <x:c r="F13" s="23" t="str">
        <x:v>Net cash proxy is not an audited operating-equity split.</x:v>
      </x:c>
      <x:c r="G13" s="4"/>
      <x:c r="H13" s="4"/>
      <x:c r="I13" s="4"/>
      <x:c r="J13" s="1"/>
      <x:c r="K13" s="1"/>
      <x:c r="L13" s="1"/>
    </x:row>
    <x:row r="14" ht="29" customHeight="1">
      <x:c r="A14" s="1"/>
      <x:c r="B14" s="1"/>
      <x:c r="C14" s="1" t="str">
        <x:v>Cash proxy / parent book</x:v>
      </x:c>
      <x:c r="D14" s="11" t="n">
        <x:f>D13/Forecast!I25</x:f>
        <x:v>0.6811863189296276</x:v>
      </x:c>
      <x:c r="E14" s="4"/>
      <x:c r="F14" s="23"/>
      <x:c r="G14" s="4"/>
      <x:c r="H14" s="4"/>
      <x:c r="I14" s="4"/>
      <x:c r="J14" s="1"/>
      <x:c r="K14" s="1"/>
      <x:c r="L14" s="1"/>
    </x:row>
    <x:row r="15" ht="29" customHeight="1">
      <x:c r="A15" s="1"/>
      <x:c r="B15" s="1"/>
      <x:c r="C15" s="1" t="str">
        <x:v>Cash split: terminal NI</x:v>
      </x:c>
      <x:c r="D15" s="10" t="n">
        <x:f>(Forecast!I25-D13)*Inputs!$D$13+D13*Inputs!$D$19</x:f>
        <x:v>87.94605192629527</x:v>
      </x:c>
      <x:c r="E15" s="4"/>
      <x:c r="F15" s="23"/>
      <x:c r="G15" s="4"/>
      <x:c r="H15" s="4"/>
      <x:c r="I15" s="4"/>
      <x:c r="J15" s="1"/>
      <x:c r="K15" s="1"/>
      <x:c r="L15" s="1"/>
    </x:row>
    <x:row r="16" ht="29" customHeight="1">
      <x:c r="A16" s="1"/>
      <x:c r="B16" s="1"/>
      <x:c r="C16" s="1" t="str">
        <x:v>Cash split: terminal ROE</x:v>
      </x:c>
      <x:c r="D16" s="11" t="n">
        <x:f>D15/Forecast!I25</x:f>
        <x:v>0.050518995469177985</x:v>
      </x:c>
      <x:c r="E16" s="4"/>
      <x:c r="F16" s="23"/>
      <x:c r="G16" s="4"/>
      <x:c r="H16" s="4"/>
      <x:c r="I16" s="4"/>
      <x:c r="J16" s="1"/>
      <x:c r="K16" s="1"/>
      <x:c r="L16" s="1"/>
    </x:row>
    <x:row r="17" ht="29" customHeight="1">
      <x:c r="A17" s="1"/>
      <x:c r="B17" s="1"/>
      <x:c r="C17" s="1" t="str">
        <x:v>RIM: no terminal excess ROE</x:v>
      </x:c>
      <x:c r="D17" s="10" t="n">
        <x:f>(RIM!D18+RIM!D19)*1000/'Cash Equity Bridge'!D23</x:f>
        <x:v>18733.92453275574</x:v>
      </x:c>
      <x:c r="E17" s="4"/>
      <x:c r="F17" s="23" t="str">
        <x:v>No excess ROE after the explicit forecast.</x:v>
      </x:c>
      <x:c r="G17" s="4"/>
      <x:c r="H17" s="4"/>
      <x:c r="I17" s="4"/>
      <x:c r="J17" s="1"/>
      <x:c r="K17" s="1"/>
      <x:c r="L17" s="1"/>
    </x:row>
    <x:row r="18" ht="29" customHeight="1">
      <x:c r="A18" s="1"/>
      <x:c r="B18" s="1"/>
      <x:c r="C18" s="1" t="str">
        <x:v>RIM: cash split stress</x:v>
      </x:c>
      <x:c r="D18" s="10" t="n">
        <x:f>(RIM!D18+RIM!D19+(D15-Inputs!$D$10*Forecast!I25)/(Inputs!$D$10-Inputs!$D$11)/(1+Inputs!$D$10)^5)*1000/'Cash Equity Bridge'!D23</x:f>
        <x:v>9252.168594347102</x:v>
      </x:c>
      <x:c r="E18" s="4"/>
      <x:c r="F18" s="23" t="str">
        <x:v>Cash yield separated from residual-book ROE.</x:v>
      </x:c>
      <x:c r="G18" s="4"/>
      <x:c r="H18" s="4"/>
      <x:c r="I18" s="4"/>
      <x:c r="J18" s="1"/>
      <x:c r="K18" s="1"/>
      <x:c r="L18" s="1"/>
    </x:row>
    <x:row r="19" ht="29" customHeight="1">
      <x:c r="A19" s="1"/>
      <x:c r="B19" s="1"/>
      <x:c r="C19" s="1" t="str">
        <x:v>DCF: terminal ROIC = WACC</x:v>
      </x:c>
      <x:c r="D19" s="10" t="n">
        <x:f>(DCF!D15+DCF!D16/Inputs!$D$9/(1+Inputs!$D$9)^5+DCF!D21+DCF!D22-DCF!D23)*1000/DCF!D25</x:f>
        <x:v>41203.9749170166</x:v>
      </x:c>
      <x:c r="E19" s="4"/>
      <x:c r="F19" s="23"/>
      <x:c r="G19" s="4"/>
      <x:c r="H19" s="4"/>
      <x:c r="I19" s="4"/>
      <x:c r="J19" s="1"/>
      <x:c r="K19" s="1"/>
      <x:c r="L19" s="1"/>
    </x:row>
    <x:row r="20" ht="29" customHeight="1">
      <x:c r="A20" s="1"/>
      <x:c r="B20" s="1"/>
      <x:c r="C20" s="1" t="str">
        <x:v>DCF: excess ROIC value / share</x:v>
      </x:c>
      <x:c r="D20" s="10" t="n">
        <x:f>DCF!D26-D19</x:f>
        <x:v>2214.8130943722063</x:v>
      </x:c>
      <x:c r="E20" s="4"/>
      <x:c r="F20" s="23"/>
      <x:c r="G20" s="4"/>
      <x:c r="H20" s="4"/>
      <x:c r="I20" s="4"/>
      <x:c r="J20" s="1"/>
      <x:c r="K20" s="1"/>
      <x:c r="L20" s="1"/>
    </x:row>
    <x:row r="21" ht="29" customHeight="1">
      <x:c r="A21" s="1"/>
      <x:c r="B21" s="1"/>
      <x:c r="C21" s="1" t="str">
        <x:v>Price hurdle: terminal FCFF bn</x:v>
      </x:c>
      <x:c r="D21" s="10" t="n">
        <x:f>(Inputs!$D$24*DCF!D25/1000-DCF!D21-DCF!D22+DCF!D23-DCF!D15)*(1+Inputs!$D$9)^5*(Inputs!$D$9-Inputs!$D$11)</x:f>
        <x:v>533.3518458495868</x:v>
      </x:c>
      <x:c r="E21" s="4"/>
      <x:c r="F21" s="23" t="str">
        <x:v>Reference price held unchanged at 2026 year-end.</x:v>
      </x:c>
      <x:c r="G21" s="4"/>
      <x:c r="H21" s="4"/>
      <x:c r="I21" s="4"/>
      <x:c r="J21" s="1"/>
      <x:c r="K21" s="1"/>
      <x:c r="L21" s="1"/>
    </x:row>
    <x:row r="22" ht="29" customHeight="1">
      <x:c r="A22" s="1"/>
      <x:c r="B22" s="1"/>
      <x:c r="C22" s="1" t="str">
        <x:v>Price hurdle: terminal OP margin</x:v>
      </x:c>
      <x:c r="D22" s="11" t="n">
        <x:f>D21/(Forecast!I8*(1+Inputs!$D$11)*(1-Inputs!$D$18)*(1-Inputs!$D$11/Inputs!$D$12))</x:f>
        <x:v>0.949226351690776</x:v>
      </x:c>
      <x:c r="E22" s="4"/>
      <x:c r="F22" s="23"/>
      <x:c r="G22" s="4"/>
      <x:c r="H22" s="4"/>
      <x:c r="I22" s="4"/>
      <x:c r="J22" s="1"/>
      <x:c r="K22" s="1"/>
      <x:c r="L22" s="1"/>
    </x:row>
    <x:row r="23" ht="29" customHeight="1">
      <x:c r="A23" s="1"/>
      <x:c r="B23" s="1"/>
      <x:c r="C23" s="1" t="str">
        <x:v>Price hurdle: PER normal margin</x:v>
      </x:c>
      <x:c r="D23" s="11" t="n">
        <x:f>(Inputs!$D$24/PER!D38*DCF!D25/1000-DCF!D21*Inputs!$D$19)/(Forecast!E8*(1-Inputs!$D$18)*Forecast!E27)</x:f>
        <x:v>0.97607940696637</x:v>
      </x:c>
      <x:c r="E23" s="4"/>
      <x:c r="F23" s="23" t="str">
        <x:v>Theoretical PER is fixed; not empirical peer PER.</x:v>
      </x:c>
      <x:c r="G23" s="4"/>
      <x:c r="H23" s="4"/>
      <x:c r="I23" s="4"/>
      <x:c r="J23" s="1"/>
      <x:c r="K23" s="1"/>
      <x:c r="L23" s="1"/>
    </x:row>
    <x:row r="24" ht="29" customHeight="1">
      <x:c r="A24" s="1"/>
      <x:c r="B24" s="1"/>
      <x:c r="C24" s="1" t="str">
        <x:v>Margin reduction (percentage pts)</x:v>
      </x:c>
      <x:c r="D24" s="11" t="n">
        <x:f>Inputs!$D$60</x:f>
        <x:v>0.02</x:v>
      </x:c>
      <x:c r="E24" s="4"/>
      <x:c r="F24" s="23"/>
      <x:c r="G24" s="4"/>
      <x:c r="H24" s="4"/>
      <x:c r="I24" s="4"/>
      <x:c r="J24" s="1"/>
      <x:c r="K24" s="1"/>
      <x:c r="L24" s="1"/>
    </x:row>
    <x:row r="25" ht="29" customHeight="1">
      <x:c r="A25" s="1"/>
      <x:c r="B25" s="1"/>
      <x:c r="C25" s="1" t="str">
        <x:v>Additional explicit CAPEX</x:v>
      </x:c>
      <x:c r="D25" s="11" t="n">
        <x:f>Inputs!$D$61</x:f>
        <x:v>0.2</x:v>
      </x:c>
      <x:c r="E25" s="4"/>
      <x:c r="F25" s="23"/>
      <x:c r="G25" s="4"/>
      <x:c r="H25" s="4"/>
      <x:c r="I25" s="4"/>
      <x:c r="J25" s="1"/>
      <x:c r="K25" s="1"/>
      <x:c r="L25" s="1"/>
    </x:row>
    <x:row r="26" ht="29" customHeight="1">
      <x:c r="A26" s="1"/>
      <x:c r="B26" s="1"/>
      <x:c r="C26" s="1"/>
      <x:c r="D26" s="4"/>
      <x:c r="E26" s="4"/>
      <x:c r="F26" s="23"/>
      <x:c r="G26" s="4"/>
      <x:c r="H26" s="4"/>
      <x:c r="I26" s="4"/>
      <x:c r="J26" s="1"/>
      <x:c r="K26" s="1"/>
      <x:c r="L26" s="1"/>
    </x:row>
    <x:row r="27" ht="29" customHeight="1">
      <x:c r="A27" s="1"/>
      <x:c r="B27" s="1"/>
      <x:c r="C27" s="1" t="str">
        <x:v>DCF: margin reduction stress</x:v>
      </x:c>
      <x:c r="D27" s="10" t="n">
        <x:f>DCF!D26-(Forecast!E8/(1+Inputs!$D$9)^1+Forecast!F8/(1+Inputs!$D$9)^2+Forecast!G8/(1+Inputs!$D$9)^3+Forecast!H8/(1+Inputs!$D$9)^4+Forecast!I8/(1+Inputs!$D$9)^5+Forecast!I8*(1+Inputs!$D$11)*(1-Inputs!$D$11/Inputs!$D$12)/(Inputs!$D$9-Inputs!$D$11)/(1+Inputs!$D$9)^5)*D24*(1-Inputs!$D$18)*1000/DCF!D25</x:f>
        <x:v>41759.187678031136</x:v>
      </x:c>
      <x:c r="E27" s="4"/>
      <x:c r="F27" s="23"/>
      <x:c r="G27" s="4"/>
      <x:c r="H27" s="4"/>
      <x:c r="I27" s="4"/>
      <x:c r="J27" s="1"/>
      <x:c r="K27" s="1"/>
      <x:c r="L27" s="1"/>
    </x:row>
    <x:row r="28" ht="29" customHeight="1">
      <x:c r="A28" s="1"/>
      <x:c r="B28" s="1"/>
      <x:c r="C28" s="1" t="str">
        <x:v>DCF: additional CAPEX stress</x:v>
      </x:c>
      <x:c r="D28" s="10" t="n">
        <x:f>DCF!D26-(Forecast!E15/(1+Inputs!$D$9)^1+Forecast!F15/(1+Inputs!$D$9)^2+Forecast!G15/(1+Inputs!$D$9)^3+Forecast!H15/(1+Inputs!$D$9)^4+Forecast!I15/(1+Inputs!$D$9)^5)*D25*1000/DCF!D25</x:f>
        <x:v>42949.05121572674</x:v>
      </x:c>
      <x:c r="E28" s="4"/>
      <x:c r="F28" s="23" t="str">
        <x:v>No benefit to earnings, D&amp;A or terminal from extra CAPEX.</x:v>
      </x:c>
      <x:c r="G28" s="4"/>
      <x:c r="H28" s="4"/>
      <x:c r="I28" s="4"/>
      <x:c r="J28" s="1"/>
      <x:c r="K28" s="1"/>
      <x:c r="L28" s="1"/>
    </x:row>
    <x:row r="29" ht="29" customHeight="1">
      <x:c r="A29" s="1"/>
      <x:c r="B29" s="1"/>
      <x:c r="C29" s="1"/>
      <x:c r="D29" s="4"/>
      <x:c r="E29" s="4"/>
      <x:c r="F29" s="23"/>
      <x:c r="G29" s="4"/>
      <x:c r="H29" s="4"/>
      <x:c r="I29" s="4"/>
      <x:c r="J29" s="1"/>
      <x:c r="K29" s="1"/>
      <x:c r="L29" s="1"/>
    </x:row>
    <x:row r="30" ht="29" customHeight="1">
      <x:c r="A30" s="1"/>
      <x:c r="B30" s="1"/>
      <x:c r="C30" s="1" t="str">
        <x:v>DCF: explicit FCFF / share</x:v>
      </x:c>
      <x:c r="D30" s="10" t="n">
        <x:f>DCF!D15*1000/DCF!D25</x:f>
        <x:v>11033.440748339088</x:v>
      </x:c>
      <x:c r="E30" s="4"/>
      <x:c r="F30" s="23"/>
      <x:c r="G30" s="4"/>
      <x:c r="H30" s="4"/>
      <x:c r="I30" s="4"/>
      <x:c r="J30" s="1"/>
      <x:c r="K30" s="1"/>
      <x:c r="L30" s="1"/>
    </x:row>
    <x:row r="31" ht="29" customHeight="1">
      <x:c r="A31" s="1"/>
      <x:c r="B31" s="1"/>
      <x:c r="C31" s="1" t="str">
        <x:v>DCF: terminal value / share</x:v>
      </x:c>
      <x:c r="D31" s="10" t="n">
        <x:f>DCF!D19*1000/DCF!D25</x:f>
        <x:v>25839.48610100899</x:v>
      </x:c>
      <x:c r="E31" s="4"/>
      <x:c r="F31" s="23"/>
      <x:c r="G31" s="4"/>
      <x:c r="H31" s="4"/>
      <x:c r="I31" s="4"/>
      <x:c r="J31" s="1"/>
      <x:c r="K31" s="1"/>
      <x:c r="L31" s="1"/>
    </x:row>
    <x:row r="32" ht="29" customHeight="1">
      <x:c r="A32" s="1"/>
      <x:c r="B32" s="1"/>
      <x:c r="C32" s="1" t="str">
        <x:v>DCF: net cash / share</x:v>
      </x:c>
      <x:c r="D32" s="10" t="n">
        <x:f>DCF!D21*1000/DCF!D25</x:f>
        <x:v>6262.80247742661</x:v>
      </x:c>
      <x:c r="E32" s="4"/>
      <x:c r="F32" s="23"/>
      <x:c r="G32" s="4"/>
      <x:c r="H32" s="4"/>
      <x:c r="I32" s="4"/>
      <x:c r="J32" s="1"/>
      <x:c r="K32" s="1"/>
      <x:c r="L32" s="1"/>
    </x:row>
    <x:row r="33" ht="29" customHeight="1">
      <x:c r="A33" s="1"/>
      <x:c r="B33" s="1"/>
      <x:c r="C33" s="1" t="str">
        <x:v>DCF: nonop less NCI / share</x:v>
      </x:c>
      <x:c r="D33" s="10" t="n">
        <x:f>(DCF!D22-DCF!D23)*1000/DCF!D25</x:f>
        <x:v>283.05868461412786</x:v>
      </x:c>
      <x:c r="E33" s="4"/>
      <x:c r="F33" s="23"/>
      <x:c r="G33" s="4"/>
      <x:c r="H33" s="4"/>
      <x:c r="I33" s="4"/>
      <x:c r="J33" s="1"/>
      <x:c r="K33" s="1"/>
      <x:c r="L33" s="1"/>
    </x:row>
    <x:row r="34" ht="29" customHeight="1">
      <x:c r="A34" s="1"/>
      <x:c r="B34" s="1"/>
      <x:c r="C34" s="1" t="str">
        <x:v>PER: terminal PV / total value</x:v>
      </x:c>
      <x:c r="D34" s="11" t="n">
        <x:f>PER!D37/PER!D38</x:f>
        <x:v>0.7764294962248618</x:v>
      </x:c>
      <x:c r="E34" s="4"/>
      <x:c r="F34" s="23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 t="str">
        <x:v>PER and RIM share DDM assumptions; not independent market evidence.</x:v>
      </x:c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2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60" hidden="0" customWidth="1"/>
    <x:col min="11" max="11" width="26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Special Cases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3" t="str">
        <x:v>Economic assumption review</x:v>
      </x:c>
      <x:c r="D7" s="13" t="str">
        <x:v>Active case</x:v>
      </x:c>
      <x:c r="E7" s="1"/>
      <x:c r="F7" s="1"/>
      <x:c r="G7" s="1"/>
      <x:c r="H7" s="1"/>
      <x:c r="I7" s="1"/>
      <x:c r="J7" s="1"/>
      <x:c r="K7" s="1"/>
      <x:c r="L7" s="1"/>
    </x:row>
    <x:row r="8" ht="42" customHeight="1">
      <x:c r="A8" s="1"/>
      <x:c r="B8" s="1"/>
      <x:c r="C8" s="1" t="str">
        <x:v>DSO +15 days: 2027 cash need bn</x:v>
      </x:c>
      <x:c r="D8" s="10" t="n">
        <x:f>Forecast!E8*Inputs!$D$65/365</x:f>
        <x:v>23.41665118767124</x:v>
      </x:c>
      <x:c r="E8" s="4"/>
      <x:c r="F8" s="23" t="str"/>
      <x:c r="G8" s="4"/>
      <x:c r="H8" s="4"/>
      <x:c r="I8" s="4"/>
      <x:c r="J8" s="28" t="str">
        <x:v>Liquidity required, not a permanent valuation loss.</x:v>
      </x:c>
      <x:c r="K8" s="1"/>
      <x:c r="L8" s="1"/>
    </x:row>
    <x:row r="9" ht="42" customHeight="1">
      <x:c r="A9" s="1"/>
      <x:c r="B9" s="1"/>
      <x:c r="C9" s="1" t="str">
        <x:v>DCF: customer A 10% shock in 2027</x:v>
      </x:c>
      <x:c r="D9" s="10" t="n">
        <x:f>DCF!D26-Forecast!E8*Inputs!$D$62*Inputs!$D$63*Inputs!$D$64*(1-Inputs!$D$18)/(1+Inputs!$D$9)*1000/DCF!D25</x:f>
        <x:v>43357.27997421317</x:v>
      </x:c>
      <x:c r="E9" s="4"/>
      <x:c r="F9" s="23" t="str"/>
      <x:c r="G9" s="4"/>
      <x:c r="H9" s="4"/>
      <x:c r="I9" s="4"/>
      <x:c r="J9" s="28" t="str">
        <x:v>One-year shock; 50% contribution margin is an assumption.</x:v>
      </x:c>
      <x:c r="K9" s="1"/>
      <x:c r="L9" s="1"/>
    </x:row>
    <x:row r="10" ht="42" customHeight="1">
      <x:c r="A10" s="1"/>
      <x:c r="B10" s="1"/>
      <x:c r="C10" s="1" t="str">
        <x:v>DCF: omitted H2 accrual settlement</x:v>
      </x:c>
      <x:c r="D10" s="10" t="n">
        <x:f>DCF!D26-Inputs!$D$26*1000/DCF!D25</x:f>
        <x:v>43730.60102460696</x:v>
      </x:c>
      <x:c r="E10" s="4"/>
      <x:c r="F10" s="23" t="str"/>
      <x:c r="G10" s="4"/>
      <x:c r="H10" s="4"/>
      <x:c r="I10" s="4"/>
      <x:c r="J10" s="28" t="str">
        <x:v>Base cash bridge includes settlement of H1 accrued expense.</x:v>
      </x:c>
      <x:c r="K10" s="1"/>
      <x:c r="L10" s="1"/>
    </x:row>
    <x:row r="11" ht="42" customHeight="1">
      <x:c r="A11" s="1"/>
      <x:c r="B11" s="1"/>
      <x:c r="C11" s="1" t="str">
        <x:v>DCF: ELS value minus 20%</x:v>
      </x:c>
      <x:c r="D11" s="10" t="n">
        <x:f>DCF!D26-'Actuals Sources'!D67*0.2*1000/DCF!D25</x:f>
        <x:v>43365.216434116875</x:v>
      </x:c>
      <x:c r="E11" s="4"/>
      <x:c r="F11" s="23" t="str"/>
      <x:c r="G11" s="4"/>
      <x:c r="H11" s="4"/>
      <x:c r="I11" s="4"/>
      <x:c r="J11" s="28" t="str">
        <x:v>Local asset value sensitivity; no additional tax haircut.</x:v>
      </x:c>
      <x:c r="K11" s="1"/>
      <x:c r="L11" s="1"/>
    </x:row>
    <x:row r="12" ht="29" customHeight="1">
      <x:c r="A12" s="1"/>
      <x:c r="B12" s="1"/>
      <x:c r="C12" s="1"/>
      <x:c r="D12" s="4"/>
      <x:c r="E12" s="4"/>
      <x:c r="F12" s="23"/>
      <x:c r="G12" s="4"/>
      <x:c r="H12" s="4"/>
      <x:c r="I12" s="4"/>
      <x:c r="J12" s="28"/>
      <x:c r="K12" s="1"/>
      <x:c r="L12" s="1"/>
    </x:row>
    <x:row r="13" ht="29" customHeight="1">
      <x:c r="A13" s="1"/>
      <x:c r="B13" s="1"/>
      <x:c r="C13" s="1"/>
      <x:c r="D13" s="4"/>
      <x:c r="E13" s="4"/>
      <x:c r="F13" s="23"/>
      <x:c r="G13" s="4"/>
      <x:c r="H13" s="4"/>
      <x:c r="I13" s="4"/>
      <x:c r="J13" s="28"/>
      <x:c r="K13" s="1"/>
      <x:c r="L13" s="1"/>
    </x:row>
    <x:row r="14" ht="29" customHeight="1">
      <x:c r="A14" s="1"/>
      <x:c r="B14" s="1"/>
      <x:c r="C14" s="1"/>
      <x:c r="D14" s="4"/>
      <x:c r="E14" s="4"/>
      <x:c r="F14" s="23"/>
      <x:c r="G14" s="4"/>
      <x:c r="H14" s="4"/>
      <x:c r="I14" s="4"/>
      <x:c r="J14" s="28"/>
      <x:c r="K14" s="1"/>
      <x:c r="L14" s="1"/>
    </x:row>
    <x:row r="15" ht="29" customHeight="1">
      <x:c r="A15" s="1"/>
      <x:c r="B15" s="1"/>
      <x:c r="C15" s="1"/>
      <x:c r="D15" s="4"/>
      <x:c r="E15" s="4"/>
      <x:c r="F15" s="23"/>
      <x:c r="G15" s="4"/>
      <x:c r="H15" s="4"/>
      <x:c r="I15" s="4"/>
      <x:c r="J15" s="28"/>
      <x:c r="K15" s="1"/>
      <x:c r="L15" s="1"/>
    </x:row>
    <x:row r="16" ht="29" customHeight="1">
      <x:c r="A16" s="1"/>
      <x:c r="B16" s="1"/>
      <x:c r="C16" s="1" t="str">
        <x:v>All special cases are local sensitivities, not company guidance.</x:v>
      </x:c>
      <x:c r="D16" s="4"/>
      <x:c r="E16" s="4"/>
      <x:c r="F16" s="23"/>
      <x:c r="G16" s="4"/>
      <x:c r="H16" s="4"/>
      <x:c r="I16" s="4"/>
      <x:c r="J16" s="28"/>
      <x:c r="K16" s="1"/>
      <x:c r="L16" s="1"/>
    </x:row>
    <x:row r="17" ht="29" customHeight="1">
      <x:c r="A17" s="1"/>
      <x:c r="B17" s="1"/>
      <x:c r="C17" s="1"/>
      <x:c r="D17" s="4"/>
      <x:c r="E17" s="4"/>
      <x:c r="F17" s="23"/>
      <x:c r="G17" s="4"/>
      <x:c r="H17" s="4"/>
      <x:c r="I17" s="4"/>
      <x:c r="J17" s="28"/>
      <x:c r="K17" s="1"/>
      <x:c r="L17" s="1"/>
    </x:row>
    <x:row r="18" ht="29" customHeight="1">
      <x:c r="A18" s="1"/>
      <x:c r="B18" s="1"/>
      <x:c r="C18" s="1" t="str">
        <x:v>Units: KRW bn / shares mn / prices KRW. See report section 11.</x:v>
      </x:c>
      <x:c r="D18" s="4"/>
      <x:c r="E18" s="4"/>
      <x:c r="F18" s="23"/>
      <x:c r="G18" s="4"/>
      <x:c r="H18" s="4"/>
      <x:c r="I18" s="4"/>
      <x:c r="J18" s="28"/>
      <x:c r="K18" s="1"/>
      <x:c r="L18" s="1"/>
    </x:row>
    <x:row r="19" ht="29" customHeight="1">
      <x:c r="A19" s="1"/>
      <x:c r="B19" s="1"/>
      <x:c r="C19" s="1"/>
      <x:c r="D19" s="4"/>
      <x:c r="E19" s="4"/>
      <x:c r="F19" s="23"/>
      <x:c r="G19" s="4"/>
      <x:c r="H19" s="4"/>
      <x:c r="I19" s="4"/>
      <x:c r="J19" s="1"/>
      <x:c r="K19" s="1"/>
      <x:c r="L19" s="1"/>
    </x:row>
    <x:row r="20" ht="29" customHeight="1">
      <x:c r="A20" s="1"/>
      <x:c r="B20" s="1"/>
      <x:c r="C20" s="1"/>
      <x:c r="D20" s="4"/>
      <x:c r="E20" s="4"/>
      <x:c r="F20" s="23"/>
      <x:c r="G20" s="4"/>
      <x:c r="H20" s="4"/>
      <x:c r="I20" s="4"/>
      <x:c r="J20" s="1"/>
      <x:c r="K20" s="1"/>
      <x:c r="L20" s="1"/>
    </x:row>
    <x:row r="21" ht="29" customHeight="1">
      <x:c r="A21" s="1"/>
      <x:c r="B21" s="1"/>
      <x:c r="C21" s="1"/>
      <x:c r="D21" s="4"/>
      <x:c r="E21" s="4"/>
      <x:c r="F21" s="23"/>
      <x:c r="G21" s="4"/>
      <x:c r="H21" s="4"/>
      <x:c r="I21" s="4"/>
      <x:c r="J21" s="1"/>
      <x:c r="K21" s="1"/>
      <x:c r="L21" s="1"/>
    </x:row>
    <x:row r="22" ht="29" customHeight="1">
      <x:c r="A22" s="1"/>
      <x:c r="B22" s="1"/>
      <x:c r="C22" s="1" t="str">
        <x:v>Reverse DCF with investment ratios held fixed</x:v>
      </x:c>
      <x:c r="D22" s="4"/>
      <x:c r="E22" s="4"/>
      <x:c r="F22" s="23"/>
      <x:c r="G22" s="4"/>
      <x:c r="H22" s="4"/>
      <x:c r="I22" s="4"/>
      <x:c r="J22" s="1"/>
      <x:c r="K22" s="1"/>
      <x:c r="L22" s="1"/>
    </x:row>
    <x:row r="23" ht="29" customHeight="1">
      <x:c r="A23" s="1"/>
      <x:c r="B23" s="1"/>
      <x:c r="C23" s="1"/>
      <x:c r="D23" s="4"/>
      <x:c r="E23" s="4"/>
      <x:c r="F23" s="23"/>
      <x:c r="G23" s="4"/>
      <x:c r="H23" s="4"/>
      <x:c r="I23" s="4"/>
      <x:c r="J23" s="1"/>
      <x:c r="K23" s="1"/>
      <x:c r="L23" s="1"/>
    </x:row>
    <x:row r="24" ht="29" customHeight="1">
      <x:c r="A24" s="1"/>
      <x:c r="B24" s="1"/>
      <x:c r="C24" s="1"/>
      <x:c r="D24" s="26" t="n">
        <x:v>2027</x:v>
      </x:c>
      <x:c r="E24" s="26" t="n">
        <x:v>2028</x:v>
      </x:c>
      <x:c r="F24" s="27" t="n">
        <x:v>2029</x:v>
      </x:c>
      <x:c r="G24" s="26" t="n">
        <x:v>2030</x:v>
      </x:c>
      <x:c r="H24" s="26" t="n">
        <x:v>2031</x:v>
      </x:c>
      <x:c r="I24" s="4"/>
      <x:c r="J24" s="1"/>
      <x:c r="K24" s="1"/>
      <x:c r="L24" s="1"/>
    </x:row>
    <x:row r="25" ht="29" customHeight="1">
      <x:c r="A25" s="1"/>
      <x:c r="B25" s="1"/>
      <x:c r="C25" s="1" t="str">
        <x:v>Revenue path scale</x:v>
      </x:c>
      <x:c r="D25" s="10" t="n">
        <x:f>(1+Inputs!$D$27)^1</x:f>
        <x:v>1.1361531023494043</x:v>
      </x:c>
      <x:c r="E25" s="10" t="n">
        <x:f>(1+Inputs!$D$27)^2</x:f>
        <x:v>1.2908438719781758</x:v>
      </x:c>
      <x:c r="F25" s="24" t="n">
        <x:f>(1+Inputs!$D$27)^3</x:f>
        <x:v>1.4665962697967216</x:v>
      </x:c>
      <x:c r="G25" s="10" t="n">
        <x:f>(1+Inputs!$D$27)^4</x:f>
        <x:v>1.6662779018236094</x:v>
      </x:c>
      <x:c r="H25" s="10" t="n">
        <x:f>(1+Inputs!$D$27)^5</x:f>
        <x:v>1.8931468075331497</x:v>
      </x:c>
      <x:c r="I25" s="4"/>
      <x:c r="J25" s="1"/>
      <x:c r="K25" s="1"/>
      <x:c r="L25" s="1"/>
    </x:row>
    <x:row r="26" ht="29" customHeight="1">
      <x:c r="A26" s="1"/>
      <x:c r="B26" s="1"/>
      <x:c r="C26" s="1" t="str">
        <x:v>Revenue bn</x:v>
      </x:c>
      <x:c r="D26" s="10" t="n">
        <x:f>Forecast!E8*D25</x:f>
        <x:v>647.3859217419924</x:v>
      </x:c>
      <x:c r="E26" s="10" t="n">
        <x:f>Forecast!F8*E25</x:f>
        <x:v>852.0640536758676</x:v>
      </x:c>
      <x:c r="F26" s="24" t="n">
        <x:f>Forecast!G8*F25</x:f>
        <x:v>1089.9270964955313</x:v>
      </x:c>
      <x:c r="G26" s="10" t="n">
        <x:f>Forecast!H8*G25</x:f>
        <x:v>1352.9020132444891</x:v>
      </x:c>
      <x:c r="H26" s="10" t="n">
        <x:f>Forecast!I8*H25</x:f>
        <x:v>1638.5967834187043</x:v>
      </x:c>
      <x:c r="I26" s="4"/>
      <x:c r="J26" s="1"/>
      <x:c r="K26" s="1"/>
      <x:c r="L26" s="1"/>
    </x:row>
    <x:row r="27" ht="29" customHeight="1">
      <x:c r="A27" s="1"/>
      <x:c r="B27" s="1"/>
      <x:c r="C27" s="1" t="str">
        <x:v>NOPAT bn</x:v>
      </x:c>
      <x:c r="D27" s="10" t="n">
        <x:f>Forecast!E13*D25</x:f>
        <x:v>236.16638425147883</x:v>
      </x:c>
      <x:c r="E27" s="10" t="n">
        <x:f>Forecast!F13*E25</x:f>
        <x:v>314.07081018492477</x:v>
      </x:c>
      <x:c r="F27" s="24" t="n">
        <x:f>Forecast!G13*F25</x:f>
        <x:v>397.6054048015698</x:v>
      </x:c>
      <x:c r="G27" s="10" t="n">
        <x:f>Forecast!H13*G25</x:f>
        <x:v>483.25659913093153</x:v>
      </x:c>
      <x:c r="H27" s="10" t="n">
        <x:f>Forecast!I13*H25</x:f>
        <x:v>572.8534354831789</x:v>
      </x:c>
      <x:c r="I27" s="4"/>
      <x:c r="J27" s="1"/>
      <x:c r="K27" s="1"/>
      <x:c r="L27" s="1"/>
    </x:row>
    <x:row r="28" ht="29" customHeight="1">
      <x:c r="A28" s="1"/>
      <x:c r="B28" s="1"/>
      <x:c r="C28" s="1" t="str">
        <x:v>D&amp;A bn</x:v>
      </x:c>
      <x:c r="D28" s="10" t="n">
        <x:f>Forecast!E14*D25</x:f>
        <x:v>23.85921514933749</x:v>
      </x:c>
      <x:c r="E28" s="10" t="n">
        <x:f>Forecast!F14*E25</x:f>
        <x:v>30.980252927476222</x:v>
      </x:c>
      <x:c r="F28" s="24" t="n">
        <x:f>Forecast!G14*F25</x:f>
        <x:v>39.598099284511484</x:v>
      </x:c>
      <x:c r="G28" s="10" t="n">
        <x:f>Forecast!H14*G25</x:f>
        <x:v>49.98833705470828</x:v>
      </x:c>
      <x:c r="H28" s="10" t="n">
        <x:f>Forecast!I14*H25</x:f>
        <x:v>62.47384464859394</x:v>
      </x:c>
      <x:c r="I28" s="4"/>
      <x:c r="J28" s="1"/>
      <x:c r="K28" s="1"/>
      <x:c r="L28" s="1"/>
    </x:row>
    <x:row r="29" ht="29" customHeight="1">
      <x:c r="A29" s="1"/>
      <x:c r="B29" s="1"/>
      <x:c r="C29" s="1" t="str">
        <x:v>CAPEX bn</x:v>
      </x:c>
      <x:c r="D29" s="10" t="n">
        <x:f>Forecast!E15*D25</x:f>
        <x:v>51.12688960572319</x:v>
      </x:c>
      <x:c r="E29" s="10" t="n">
        <x:f>Forecast!F15*E25</x:f>
        <x:v>58.08797423901791</x:v>
      </x:c>
      <x:c r="F29" s="24" t="n">
        <x:f>Forecast!G15*F25</x:f>
        <x:v>70.39662095024264</x:v>
      </x:c>
      <x:c r="G29" s="10" t="n">
        <x:f>Forecast!H15*G25</x:f>
        <x:v>83.31389509118047</x:v>
      </x:c>
      <x:c r="H29" s="10" t="n">
        <x:f>Forecast!I15*H25</x:f>
        <x:v>98.44363399172379</x:v>
      </x:c>
      <x:c r="I29" s="4"/>
      <x:c r="J29" s="1"/>
      <x:c r="K29" s="1"/>
      <x:c r="L29" s="1"/>
    </x:row>
    <x:row r="30" ht="29" customHeight="1">
      <x:c r="A30" s="1"/>
      <x:c r="B30" s="1"/>
      <x:c r="C30" s="1" t="str">
        <x:v>Operating NWC bn</x:v>
      </x:c>
      <x:c r="D30" s="10" t="n">
        <x:f>Forecast!E17*D25</x:f>
        <x:v>128.59035431861494</x:v>
      </x:c>
      <x:c r="E30" s="10" t="n">
        <x:f>Forecast!F17*E25</x:f>
        <x:v>162.0088913016581</x:v>
      </x:c>
      <x:c r="F30" s="24" t="n">
        <x:f>Forecast!G17*F25</x:f>
        <x:v>201.56186031081745</x:v>
      </x:c>
      <x:c r="G30" s="10" t="n">
        <x:f>Forecast!H17*G25</x:f>
        <x:v>250.93552410041625</x:v>
      </x:c>
      <x:c r="H30" s="10" t="n">
        <x:f>Forecast!I17*H25</x:f>
        <x:v>304.8238947784384</x:v>
      </x:c>
      <x:c r="I30" s="4"/>
      <x:c r="J30" s="1"/>
      <x:c r="K30" s="1"/>
      <x:c r="L30" s="1"/>
    </x:row>
    <x:row r="31" ht="29" customHeight="1">
      <x:c r="A31" s="1"/>
      <x:c r="B31" s="1"/>
      <x:c r="C31" s="1" t="str">
        <x:v>Change in NWC bn</x:v>
      </x:c>
      <x:c r="D31" s="10" t="n">
        <x:f>D30-Forecast!D17</x:f>
        <x:v>32.655050418614934</x:v>
      </x:c>
      <x:c r="E31" s="4" t="n">
        <x:f>E30-D30</x:f>
        <x:v>33.41853698304317</x:v>
      </x:c>
      <x:c r="F31" s="23" t="n">
        <x:f>F30-E30</x:f>
        <x:v>39.55296900915934</x:v>
      </x:c>
      <x:c r="G31" s="4" t="n">
        <x:f>G30-F30</x:f>
        <x:v>49.373663789598794</x:v>
      </x:c>
      <x:c r="H31" s="4" t="n">
        <x:f>H30-G30</x:f>
        <x:v>53.88837067802214</x:v>
      </x:c>
      <x:c r="I31" s="4"/>
      <x:c r="J31" s="1"/>
      <x:c r="K31" s="1"/>
      <x:c r="L31" s="1"/>
    </x:row>
    <x:row r="32" ht="29" customHeight="1">
      <x:c r="A32" s="1"/>
      <x:c r="B32" s="1"/>
      <x:c r="C32" s="1" t="str">
        <x:v>FCFF bn</x:v>
      </x:c>
      <x:c r="D32" s="4" t="n">
        <x:f>D27+D28-D29-D31</x:f>
        <x:v>176.24365937647818</x:v>
      </x:c>
      <x:c r="E32" s="4" t="n">
        <x:f>E27+E28-E29-E31</x:f>
        <x:v>253.5445518903399</x:v>
      </x:c>
      <x:c r="F32" s="23" t="n">
        <x:f>F27+F28-F29-F31</x:f>
        <x:v>327.2539141266793</x:v>
      </x:c>
      <x:c r="G32" s="4" t="n">
        <x:f>G27+G28-G29-G31</x:f>
        <x:v>400.55737730486055</x:v>
      </x:c>
      <x:c r="H32" s="4" t="n">
        <x:f>H27+H28-H29-H31</x:f>
        <x:v>482.99527546202694</x:v>
      </x:c>
      <x:c r="I32" s="4"/>
      <x:c r="J32" s="1"/>
      <x:c r="K32" s="1"/>
      <x:c r="L32" s="1"/>
    </x:row>
    <x:row r="33" ht="29" customHeight="1">
      <x:c r="A33" s="1"/>
      <x:c r="B33" s="1"/>
      <x:c r="C33" s="1" t="str">
        <x:v>PV FCFF bn</x:v>
      </x:c>
      <x:c r="D33" s="10" t="n">
        <x:f>D32/(1+Inputs!$D$9)^1</x:f>
        <x:v>159.4965243226047</x:v>
      </x:c>
      <x:c r="E33" s="10" t="n">
        <x:f>E32/(1+Inputs!$D$9)^2</x:f>
        <x:v>207.6489440350033</x:v>
      </x:c>
      <x:c r="F33" s="24" t="n">
        <x:f>F32/(1+Inputs!$D$9)^3</x:f>
        <x:v>242.54817743284212</x:v>
      </x:c>
      <x:c r="G33" s="10" t="n">
        <x:f>G32/(1+Inputs!$D$9)^4</x:f>
        <x:v>268.667802245589</x:v>
      </x:c>
      <x:c r="H33" s="10" t="n">
        <x:f>H32/(1+Inputs!$D$9)^5</x:f>
        <x:v>293.17807740285696</x:v>
      </x:c>
      <x:c r="I33" s="4"/>
      <x:c r="J33" s="1"/>
      <x:c r="K33" s="1"/>
      <x:c r="L33" s="1"/>
    </x:row>
    <x:row r="34" ht="29" customHeight="1">
      <x:c r="A34" s="1"/>
      <x:c r="B34" s="1"/>
      <x:c r="C34" s="1"/>
      <x:c r="D34" s="4"/>
      <x:c r="E34" s="4"/>
      <x:c r="F34" s="23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 t="str">
        <x:v>Terminal NOPAT bn</x:v>
      </x:c>
      <x:c r="D35" s="10" t="n">
        <x:f>H27*(1+Inputs!$D$11)</x:f>
        <x:v>587.1747713702583</x:v>
      </x:c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 t="str">
        <x:v>Terminal FCFF bn</x:v>
      </x:c>
      <x:c r="D36" s="10" t="n">
        <x:f>D35*(1-Inputs!$D$11/Inputs!$D$12)</x:f>
        <x:v>489.3123094752152</x:v>
      </x:c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 t="str">
        <x:v>PV terminal EV bn</x:v>
      </x:c>
      <x:c r="D37" s="10" t="n">
        <x:f>D36/(Inputs!$D$9-Inputs!$D$11)/(1+Inputs!$D$9)^5</x:f>
        <x:v>3712.6564541513267</x:v>
      </x:c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 t="str">
        <x:v>Parent equity value bn</x:v>
      </x:c>
      <x:c r="D38" s="10" t="n">
        <x:f>SUM(D33:H33)+D37+DCF!D21+DCF!D22-DCF!D23</x:f>
        <x:v>5380.998040000001</x:v>
      </x:c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 t="str">
        <x:v>Reverse DCF KRW/share</x:v>
      </x:c>
      <x:c r="D39" s="10" t="n">
        <x:f>D38*1000/DCF!D25</x:f>
        <x:v>70900.00000000001</x:v>
      </x:c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 t="str">
        <x:v>Required 2027 revenue growth</x:v>
      </x:c>
      <x:c r="D40" s="11" t="n">
        <x:f>D26/Forecast!D8-1</x:f>
        <x:v>0.3773623375966513</x:v>
      </x:c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 t="str">
        <x:v>Annual growth-factor uplift</x:v>
      </x:c>
      <x:c r="D41" s="11" t="n">
        <x:f>Inputs!$D$27</x:f>
        <x:v>0.13615310234940425</x:v>
      </x:c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 t="str">
        <x:v>2031 operating-capital proxy bn</x:v>
      </x:c>
      <x:c r="D44" s="10" t="n">
        <x:f>Forecast!I25-Forecast!I26-'Actuals Sources'!$D$23</x:f>
        <x:v>533.5242582008675</x:v>
      </x:c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 t="str">
        <x:v>DCF: existing assets ROIC = WACC</x:v>
      </x:c>
      <x:c r="D45" s="10" t="n">
        <x:f>(DCF!D15+D44/(1+Inputs!$D$9)^5+DCF!D21+DCF!D22-DCF!D23)*1000/DCF!D25</x:f>
        <x:v>21846.336681725083</x:v>
      </x:c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Peer Data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44" customHeight="1">
      <x:c r="A8" s="1"/>
      <x:c r="B8" s="1"/>
      <x:c r="C8" s="17" t="str">
        <x:v>Company</x:v>
      </x:c>
      <x:c r="D8" s="18" t="str">
        <x:v>2025 parent NI</x:v>
      </x:c>
      <x:c r="E8" s="18" t="str">
        <x:v>2025H1 parent NI</x:v>
      </x:c>
      <x:c r="F8" s="18" t="str">
        <x:v>2026H1 parent NI</x:v>
      </x:c>
      <x:c r="G8" s="18" t="str">
        <x:v>Current shares mn</x:v>
      </x:c>
      <x:c r="H8" s="18" t="str">
        <x:v>TTM parent NI</x:v>
      </x:c>
      <x:c r="I8" s="18" t="str">
        <x:v>NI/current share</x:v>
      </x:c>
      <x:c r="J8" s="17" t="str">
        <x:v>Reference price</x:v>
      </x:c>
      <x:c r="K8" s="17" t="str">
        <x:v>Observed ratio</x:v>
      </x:c>
      <x:c r="L8" s="1"/>
    </x:row>
    <x:row r="9" ht="22" customHeight="1">
      <x:c r="A9" s="1"/>
      <x:c r="B9" s="1"/>
      <x:c r="C9" s="1" t="str">
        <x:v>리노공업</x:v>
      </x:c>
      <x:c r="D9" s="7" t="n">
        <x:v>151.960670406</x:v>
      </x:c>
      <x:c r="E9" s="7" t="n">
        <x:v>70.454648204</x:v>
      </x:c>
      <x:c r="F9" s="7" t="n">
        <x:v>106.31858228</x:v>
      </x:c>
      <x:c r="G9" s="8" t="n">
        <x:v>75.8956</x:v>
      </x:c>
      <x:c r="H9" s="4" t="n">
        <x:f>D9-E9+F9</x:f>
        <x:v>187.82460448199998</x:v>
      </x:c>
      <x:c r="I9" s="4" t="n">
        <x:f>H9*1000/G9</x:f>
        <x:v>2474.775935390194</x:v>
      </x:c>
      <x:c r="J9" s="29" t="n">
        <x:v>70900</x:v>
      </x:c>
      <x:c r="K9" s="30" t="n">
        <x:f>J9/I9</x:f>
        <x:v>28.649058278813964</x:v>
      </x:c>
      <x:c r="L9" s="1"/>
    </x:row>
    <x:row r="10" ht="22" customHeight="1">
      <x:c r="A10" s="1"/>
      <x:c r="B10" s="1"/>
      <x:c r="C10" s="1" t="str">
        <x:v>ISC</x:v>
      </x:c>
      <x:c r="D10" s="7" t="n">
        <x:v>56.129269159</x:v>
      </x:c>
      <x:c r="E10" s="7" t="n">
        <x:v>18.332855328</x:v>
      </x:c>
      <x:c r="F10" s="7" t="n">
        <x:v>39.7577361</x:v>
      </x:c>
      <x:c r="G10" s="8" t="n">
        <x:v>21.142451</x:v>
      </x:c>
      <x:c r="H10" s="4" t="n">
        <x:f>D10-E10+F10</x:f>
        <x:v>77.55414993100001</x:v>
      </x:c>
      <x:c r="I10" s="4" t="n">
        <x:f>H10*1000/G10</x:f>
        <x:v>3668.1721495298725</x:v>
      </x:c>
      <x:c r="J10" s="29" t="n">
        <x:v>160000</x:v>
      </x:c>
      <x:c r="K10" s="30" t="n">
        <x:f>J10/I10</x:f>
        <x:v>43.618454499335925</x:v>
      </x:c>
      <x:c r="L10" s="1"/>
    </x:row>
    <x:row r="11" ht="22" customHeight="1">
      <x:c r="A11" s="1"/>
      <x:c r="B11" s="1"/>
      <x:c r="C11" s="1"/>
      <x:c r="D11" s="4"/>
      <x:c r="E11" s="4"/>
      <x:c r="F11" s="4"/>
      <x:c r="G11" s="4"/>
      <x:c r="H11" s="4"/>
      <x:c r="I11" s="4"/>
      <x:c r="J11" s="1"/>
      <x:c r="K11" s="1"/>
      <x:c r="L11" s="1"/>
    </x:row>
    <x:row r="12" ht="22" customHeight="1">
      <x:c r="A12" s="1"/>
      <x:c r="B12" s="1"/>
      <x:c r="C12" s="1"/>
      <x:c r="D12" s="4"/>
      <x:c r="E12" s="4"/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TTM = 2025 FY - 2025 H1 + 2026 H1. Parent NI, KRW bn.</x:v>
      </x:c>
      <x:c r="D13" s="4"/>
      <x:c r="E13" s="4"/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Prices: 2026-10-16 Naver. Economic shares: 2026-06-30.</x:v>
      </x:c>
      <x:c r="D14" s="4"/>
      <x:c r="E14" s="4"/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/>
      <x:c r="D15" s="4"/>
      <x:c r="E15" s="4"/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Sources: Leeno S01/S04/S07/PX01; ISC P01/P02/P07/PX02.</x:v>
      </x:c>
      <x:c r="D16" s="4"/>
      <x:c r="E16" s="4"/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Ratio uses current shares; not filed weighted-average EPS.</x:v>
      </x:c>
      <x:c r="D17" s="4"/>
      <x:c r="E17" s="4"/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Observed TTM multiple; not normalized forward peer PER.</x:v>
      </x:c>
      <x:c r="D18" s="4"/>
      <x:c r="E18" s="4"/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/>
      <x:c r="D19" s="4"/>
      <x:c r="E19" s="4"/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/>
      <x:c r="D20" s="4"/>
      <x:c r="E20" s="4"/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/>
      <x:c r="D21" s="4"/>
      <x:c r="E21" s="4"/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/>
      <x:c r="D22" s="4"/>
      <x:c r="E22" s="4"/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/>
      <x:c r="D23" s="4"/>
      <x:c r="E23" s="4"/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/>
      <x:c r="D24" s="4"/>
      <x:c r="E24" s="4"/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/>
      <x:c r="D25" s="4"/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2" customHeight="1">
      <x:c r="A27" s="1"/>
      <x:c r="B27" s="1"/>
      <x:c r="C27" s="1"/>
      <x:c r="D27" s="4"/>
      <x:c r="E27" s="4"/>
      <x:c r="F27" s="4"/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/>
      <x:c r="D28" s="4"/>
      <x:c r="E28" s="4"/>
      <x:c r="F28" s="4"/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/>
      <x:c r="D29" s="4"/>
      <x:c r="E29" s="4"/>
      <x:c r="F29" s="4"/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/>
      <x:c r="D30" s="4"/>
      <x:c r="E30" s="4"/>
      <x:c r="F30" s="4"/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/>
      <x:c r="D31" s="4"/>
      <x:c r="E31" s="4"/>
      <x:c r="F31" s="4"/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/>
      <x:c r="D32" s="4"/>
      <x:c r="E32" s="4"/>
      <x:c r="F32" s="4"/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/>
      <x:c r="D33" s="4"/>
      <x:c r="E33" s="4"/>
      <x:c r="F33" s="4"/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/>
      <x:c r="D34" s="4"/>
      <x:c r="E34" s="4"/>
      <x:c r="F34" s="4"/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/>
      <x:c r="D35" s="4"/>
      <x:c r="E35" s="4"/>
      <x:c r="F35" s="4"/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/>
      <x:c r="D36" s="4"/>
      <x:c r="E36" s="4"/>
      <x:c r="F36" s="4"/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/>
      <x:c r="D37" s="4"/>
      <x:c r="E37" s="4"/>
      <x:c r="F37" s="4"/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/>
      <x:c r="D38" s="4"/>
      <x:c r="E38" s="4"/>
      <x:c r="F38" s="4"/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/>
      <x:c r="D39" s="4"/>
      <x:c r="E39" s="4"/>
      <x:c r="F39" s="4"/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/>
      <x:c r="D40" s="4"/>
      <x:c r="E40" s="4"/>
      <x:c r="F40" s="4"/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/>
      <x:c r="D41" s="4"/>
      <x:c r="E41" s="4"/>
      <x:c r="F41" s="4"/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/>
      <x:c r="D42" s="4"/>
      <x:c r="E42" s="4"/>
      <x:c r="F42" s="4"/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/>
      <x:c r="D43" s="4"/>
      <x:c r="E43" s="4"/>
      <x:c r="F43" s="4"/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/>
      <x:c r="D44" s="4"/>
      <x:c r="E44" s="4"/>
      <x:c r="F44" s="4"/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/>
      <x:c r="D45" s="4"/>
      <x:c r="E45" s="4"/>
      <x:c r="F45" s="4"/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/>
      <x:c r="D46" s="4"/>
      <x:c r="E46" s="4"/>
      <x:c r="F46" s="4"/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/>
      <x:c r="D47" s="4"/>
      <x:c r="E47" s="4"/>
      <x:c r="F47" s="4"/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/>
      <x:c r="D48" s="4"/>
      <x:c r="E48" s="4"/>
      <x:c r="F48" s="4"/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/>
      <x:c r="D49" s="4"/>
      <x:c r="E49" s="4"/>
      <x:c r="F49" s="4"/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/>
      <x:c r="D50" s="4"/>
      <x:c r="E50" s="4"/>
      <x:c r="F50" s="4"/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/>
      <x:c r="D51" s="4"/>
      <x:c r="E51" s="4"/>
      <x:c r="F51" s="4"/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/>
      <x:c r="D52" s="4"/>
      <x:c r="E52" s="4"/>
      <x:c r="F52" s="4"/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/>
      <x:c r="D60" s="4"/>
      <x:c r="E60" s="4"/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/>
      <x:c r="D61" s="4"/>
      <x:c r="E61" s="4"/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/>
      <x:c r="D62" s="4"/>
      <x:c r="E62" s="4"/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/>
      <x:c r="D63" s="4"/>
      <x:c r="E63" s="4"/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4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/>
      <x:c r="D65" s="4"/>
      <x:c r="E65" s="4"/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/>
      <x:c r="D66" s="4"/>
      <x:c r="E66" s="4"/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/>
      <x:c r="D67" s="4"/>
      <x:c r="E67" s="4"/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/>
      <x:c r="D68" s="4"/>
      <x:c r="E68" s="4"/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/>
      <x:c r="D69" s="4"/>
      <x:c r="E69" s="4"/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3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Actuals Sources</x:v>
      </x:c>
      <x:c r="D2" s="2"/>
      <x:c r="E2" s="2"/>
      <x:c r="F2" s="2"/>
      <x:c r="G2" s="2"/>
      <x:c r="H2" s="2"/>
      <x:c r="I2" s="2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 t="str">
        <x:v>Case selected</x:v>
      </x:c>
      <x:c r="D4" s="3" t="str">
        <x:f>Inputs!D3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7" customHeight="1">
      <x:c r="A8" s="1"/>
      <x:c r="B8" s="1"/>
      <x:c r="C8" s="17" t="str">
        <x:v>2026H1 actual</x:v>
      </x:c>
      <x:c r="D8" s="18" t="str">
        <x:v>KRW bn / shares mn</x:v>
      </x:c>
      <x:c r="E8" s="18" t="str">
        <x:v>Source</x:v>
      </x:c>
      <x:c r="F8" s="18" t="str">
        <x:v>Account meaning</x:v>
      </x:c>
      <x:c r="G8" s="4"/>
      <x:c r="H8" s="4"/>
      <x:c r="I8" s="4"/>
      <x:c r="J8" s="1"/>
      <x:c r="K8" s="1"/>
      <x:c r="L8" s="1"/>
    </x:row>
    <x:row r="9" ht="22" customHeight="1">
      <x:c r="A9" s="1"/>
      <x:c r="B9" s="1"/>
      <x:c r="C9" s="1" t="str">
        <x:v>Revenue H1</x:v>
      </x:c>
      <x:c r="D9" s="7" t="n">
        <x:v>242.958602798</x:v>
      </x:c>
      <x:c r="E9" s="4" t="str">
        <x:v>S01</x:v>
      </x:c>
      <x:c r="F9" s="4"/>
      <x:c r="G9" s="4"/>
      <x:c r="H9" s="4"/>
      <x:c r="I9" s="4"/>
      <x:c r="J9" s="1"/>
      <x:c r="K9" s="1"/>
      <x:c r="L9" s="1"/>
    </x:row>
    <x:row r="10" ht="22" customHeight="1">
      <x:c r="A10" s="1"/>
      <x:c r="B10" s="1"/>
      <x:c r="C10" s="1" t="str">
        <x:v>Operating profit H1</x:v>
      </x:c>
      <x:c r="D10" s="7" t="n">
        <x:v>120.814329893</x:v>
      </x:c>
      <x:c r="E10" s="4" t="str">
        <x:v>S01</x:v>
      </x:c>
      <x:c r="F10" s="4"/>
      <x:c r="G10" s="4"/>
      <x:c r="H10" s="4"/>
      <x:c r="I10" s="4"/>
      <x:c r="J10" s="1"/>
      <x:c r="K10" s="1"/>
      <x:c r="L10" s="1"/>
    </x:row>
    <x:row r="11" ht="22" customHeight="1">
      <x:c r="A11" s="1"/>
      <x:c r="B11" s="1"/>
      <x:c r="C11" s="1" t="str">
        <x:v>Parent NI H1</x:v>
      </x:c>
      <x:c r="D11" s="7" t="n">
        <x:v>106.31858228</x:v>
      </x:c>
      <x:c r="E11" s="4" t="str">
        <x:v>S01</x:v>
      </x:c>
      <x:c r="F11" s="4"/>
      <x:c r="G11" s="4"/>
      <x:c r="H11" s="4"/>
      <x:c r="I11" s="4"/>
      <x:c r="J11" s="1"/>
      <x:c r="K11" s="1"/>
      <x:c r="L11" s="1"/>
    </x:row>
    <x:row r="12" ht="22" customHeight="1">
      <x:c r="A12" s="1"/>
      <x:c r="B12" s="1"/>
      <x:c r="C12" s="1" t="str">
        <x:v>Parent equity</x:v>
      </x:c>
      <x:c r="D12" s="7" t="n">
        <x:v>776.763916632</x:v>
      </x:c>
      <x:c r="E12" s="4" t="str">
        <x:v>S01</x:v>
      </x:c>
      <x:c r="F12" s="4"/>
      <x:c r="G12" s="4"/>
      <x:c r="H12" s="4"/>
      <x:c r="I12" s="4"/>
      <x:c r="J12" s="1"/>
      <x:c r="K12" s="1"/>
      <x:c r="L12" s="1"/>
    </x:row>
    <x:row r="13" ht="22" customHeight="1">
      <x:c r="A13" s="1"/>
      <x:c r="B13" s="1"/>
      <x:c r="C13" s="1" t="str">
        <x:v>Non-controlling interests</x:v>
      </x:c>
      <x:c r="D13" s="7" t="n">
        <x:v>0</x:v>
      </x:c>
      <x:c r="E13" s="4" t="str">
        <x:v>S01</x:v>
      </x:c>
      <x:c r="F13" s="4"/>
      <x:c r="G13" s="4"/>
      <x:c r="H13" s="4"/>
      <x:c r="I13" s="4"/>
      <x:c r="J13" s="1"/>
      <x:c r="K13" s="1"/>
      <x:c r="L13" s="1"/>
    </x:row>
    <x:row r="14" ht="22" customHeight="1">
      <x:c r="A14" s="1"/>
      <x:c r="B14" s="1"/>
      <x:c r="C14" s="1" t="str">
        <x:v>Cash equivalents</x:v>
      </x:c>
      <x:c r="D14" s="7" t="n">
        <x:v>86.771663199</x:v>
      </x:c>
      <x:c r="E14" s="4" t="str">
        <x:v>S01</x:v>
      </x:c>
      <x:c r="F14" s="4"/>
      <x:c r="G14" s="4"/>
      <x:c r="H14" s="4"/>
      <x:c r="I14" s="4"/>
      <x:c r="J14" s="1"/>
      <x:c r="K14" s="1"/>
      <x:c r="L14" s="1"/>
    </x:row>
    <x:row r="15" ht="22" customHeight="1">
      <x:c r="A15" s="1"/>
      <x:c r="B15" s="1"/>
      <x:c r="C15" s="1" t="str">
        <x:v>Included financial assets</x:v>
      </x:c>
      <x:c r="D15" s="7" t="n">
        <x:v>340.0419968</x:v>
      </x:c>
      <x:c r="E15" s="4" t="str">
        <x:v>S01</x:v>
      </x:c>
      <x:c r="F15" s="4"/>
      <x:c r="G15" s="4"/>
      <x:c r="H15" s="4"/>
      <x:c r="I15" s="4"/>
      <x:c r="J15" s="1"/>
      <x:c r="K15" s="1"/>
      <x:c r="L15" s="1"/>
    </x:row>
    <x:row r="16" ht="22" customHeight="1">
      <x:c r="A16" s="1"/>
      <x:c r="B16" s="1"/>
      <x:c r="C16" s="1" t="str">
        <x:v>Borrowings / bonds</x:v>
      </x:c>
      <x:c r="D16" s="7" t="n">
        <x:v>0</x:v>
      </x:c>
      <x:c r="E16" s="4" t="str">
        <x:v>S01</x:v>
      </x:c>
      <x:c r="F16" s="4"/>
      <x:c r="G16" s="4"/>
      <x:c r="H16" s="4"/>
      <x:c r="I16" s="4"/>
      <x:c r="J16" s="1"/>
      <x:c r="K16" s="1"/>
      <x:c r="L16" s="1"/>
    </x:row>
    <x:row r="17" ht="22" customHeight="1">
      <x:c r="A17" s="1"/>
      <x:c r="B17" s="1"/>
      <x:c r="C17" s="1" t="str">
        <x:v>Additional lease debt</x:v>
      </x:c>
      <x:c r="D17" s="7" t="n">
        <x:v>0.212374548</x:v>
      </x:c>
      <x:c r="E17" s="4" t="str">
        <x:v>S01</x:v>
      </x:c>
      <x:c r="F17" s="4"/>
      <x:c r="G17" s="4"/>
      <x:c r="H17" s="4"/>
      <x:c r="I17" s="4"/>
      <x:c r="J17" s="1"/>
      <x:c r="K17" s="1"/>
      <x:c r="L17" s="1"/>
    </x:row>
    <x:row r="18" ht="22" customHeight="1">
      <x:c r="A18" s="1"/>
      <x:c r="B18" s="1"/>
      <x:c r="C18" s="1" t="str">
        <x:v>Operating NWC</x:v>
      </x:c>
      <x:c r="D18" s="7" t="n">
        <x:v>114.435418438</x:v>
      </x:c>
      <x:c r="E18" s="4" t="str">
        <x:v>S01</x:v>
      </x:c>
      <x:c r="F18" s="4"/>
      <x:c r="G18" s="4"/>
      <x:c r="H18" s="4"/>
      <x:c r="I18" s="4"/>
      <x:c r="J18" s="1"/>
      <x:c r="K18" s="1"/>
      <x:c r="L18" s="1"/>
    </x:row>
    <x:row r="19" ht="22" customHeight="1">
      <x:c r="A19" s="1"/>
      <x:c r="B19" s="1"/>
      <x:c r="C19" s="1" t="str">
        <x:v>D&amp;A H1</x:v>
      </x:c>
      <x:c r="D19" s="7" t="n">
        <x:v>6.943499268</x:v>
      </x:c>
      <x:c r="E19" s="4" t="str">
        <x:v>S02</x:v>
      </x:c>
      <x:c r="F19" s="4"/>
      <x:c r="G19" s="4"/>
      <x:c r="H19" s="4"/>
      <x:c r="I19" s="4"/>
      <x:c r="J19" s="1"/>
      <x:c r="K19" s="1"/>
      <x:c r="L19" s="1"/>
    </x:row>
    <x:row r="20" ht="22" customHeight="1">
      <x:c r="A20" s="1"/>
      <x:c r="B20" s="1"/>
      <x:c r="C20" s="1" t="str">
        <x:v>Asset investment H1</x:v>
      </x:c>
      <x:c r="D20" s="7" t="n">
        <x:v>41.843179486</x:v>
      </x:c>
      <x:c r="E20" s="4" t="str">
        <x:v>S01</x:v>
      </x:c>
      <x:c r="F20" s="4"/>
      <x:c r="G20" s="4"/>
      <x:c r="H20" s="4"/>
      <x:c r="I20" s="4"/>
      <x:c r="J20" s="1"/>
      <x:c r="K20" s="1"/>
      <x:c r="L20" s="1"/>
    </x:row>
    <x:row r="21" ht="22" customHeight="1">
      <x:c r="A21" s="1"/>
      <x:c r="B21" s="1"/>
      <x:c r="C21" s="1" t="str">
        <x:v>CFO as filed</x:v>
      </x:c>
      <x:c r="D21" s="7" t="n">
        <x:v>68.532599008</x:v>
      </x:c>
      <x:c r="E21" s="4" t="str">
        <x:v>S01</x:v>
      </x:c>
      <x:c r="F21" s="4"/>
      <x:c r="G21" s="4"/>
      <x:c r="H21" s="4"/>
      <x:c r="I21" s="4"/>
      <x:c r="J21" s="1"/>
      <x:c r="K21" s="1"/>
      <x:c r="L21" s="1"/>
    </x:row>
    <x:row r="22" ht="22" customHeight="1">
      <x:c r="A22" s="1"/>
      <x:c r="B22" s="1"/>
      <x:c r="C22" s="1" t="str">
        <x:v>Economic shares (million)</x:v>
      </x:c>
      <x:c r="D22" s="8" t="n">
        <x:v>75.8956</x:v>
      </x:c>
      <x:c r="E22" s="4" t="str">
        <x:v>S07</x:v>
      </x:c>
      <x:c r="F22" s="4"/>
      <x:c r="G22" s="4"/>
      <x:c r="H22" s="4"/>
      <x:c r="I22" s="4"/>
      <x:c r="J22" s="1"/>
      <x:c r="K22" s="1"/>
      <x:c r="L22" s="1"/>
    </x:row>
    <x:row r="23" ht="22" customHeight="1">
      <x:c r="A23" s="1"/>
      <x:c r="B23" s="1"/>
      <x:c r="C23" s="1" t="str">
        <x:v>Non-operating assets</x:v>
      </x:c>
      <x:c r="D23" s="7" t="n">
        <x:v>21.482908704</x:v>
      </x:c>
      <x:c r="E23" s="4" t="str">
        <x:v>S02</x:v>
      </x:c>
      <x:c r="F23" s="4"/>
      <x:c r="G23" s="4"/>
      <x:c r="H23" s="4"/>
      <x:c r="I23" s="4"/>
      <x:c r="J23" s="1"/>
      <x:c r="K23" s="1"/>
      <x:c r="L23" s="1"/>
    </x:row>
    <x:row r="24" ht="22" customHeight="1">
      <x:c r="A24" s="1"/>
      <x:c r="B24" s="1"/>
      <x:c r="C24" s="1" t="str">
        <x:v>Group NI H1</x:v>
      </x:c>
      <x:c r="D24" s="7" t="n">
        <x:v>106.31858228</x:v>
      </x:c>
      <x:c r="E24" s="4" t="str">
        <x:v>S01</x:v>
      </x:c>
      <x:c r="F24" s="4"/>
      <x:c r="G24" s="4"/>
      <x:c r="H24" s="4"/>
      <x:c r="I24" s="4"/>
      <x:c r="J24" s="1"/>
      <x:c r="K24" s="1"/>
      <x:c r="L24" s="1"/>
    </x:row>
    <x:row r="25" ht="22" customHeight="1">
      <x:c r="A25" s="1"/>
      <x:c r="B25" s="1"/>
      <x:c r="C25" s="1" t="str">
        <x:v>Forecast parent NI factor</x:v>
      </x:c>
      <x:c r="D25" s="5" t="n">
        <x:f>MIN(1,D11/D24)</x:f>
        <x:v>1</x:v>
      </x:c>
      <x:c r="E25" s="4"/>
      <x:c r="F25" s="4"/>
      <x:c r="G25" s="4"/>
      <x:c r="H25" s="4"/>
      <x:c r="I25" s="4"/>
      <x:c r="J25" s="1"/>
      <x:c r="K25" s="1"/>
      <x:c r="L25" s="1"/>
    </x:row>
    <x:row r="26" ht="22" customHeight="1">
      <x:c r="A26" s="1"/>
      <x:c r="B26" s="1"/>
      <x:c r="C26" s="1"/>
      <x:c r="D26" s="4"/>
      <x:c r="E26" s="4"/>
      <x:c r="F26" s="4"/>
      <x:c r="G26" s="4"/>
      <x:c r="H26" s="4"/>
      <x:c r="I26" s="4"/>
      <x:c r="J26" s="1"/>
      <x:c r="K26" s="1"/>
      <x:c r="L26" s="1"/>
    </x:row>
    <x:row r="27" ht="27" customHeight="1">
      <x:c r="A27" s="1"/>
      <x:c r="B27" s="1"/>
      <x:c r="C27" s="17" t="str">
        <x:v>Source</x:v>
      </x:c>
      <x:c r="D27" s="18" t="str">
        <x:v>Publisher</x:v>
      </x:c>
      <x:c r="E27" s="18" t="str">
        <x:v>Title</x:v>
      </x:c>
      <x:c r="F27" s="18" t="str">
        <x:v>URL</x:v>
      </x:c>
      <x:c r="G27" s="4"/>
      <x:c r="H27" s="4"/>
      <x:c r="I27" s="4"/>
      <x:c r="J27" s="1"/>
      <x:c r="K27" s="1"/>
      <x:c r="L27" s="1"/>
    </x:row>
    <x:row r="28" ht="22" customHeight="1">
      <x:c r="A28" s="1"/>
      <x:c r="B28" s="1"/>
      <x:c r="C28" s="1" t="str">
        <x:v>S01</x:v>
      </x:c>
      <x:c r="D28" s="4" t="str">
        <x:v>DART / 2026-08-14</x:v>
      </x:c>
      <x:c r="E28" s="4" t="str">
        <x:v>2026 반기 별도 재무제표</x:v>
      </x:c>
      <x:c r="F28" s="4" t="str">
        <x:v>https://dart.fss.or.kr/report/viewer.do?rcpNo=20260814000445&amp;dcmNo=11527283&amp;eleId=21&amp;offset=272052&amp;length=94997&amp;dtd=dart4.xsd</x:v>
      </x:c>
      <x:c r="G28" s="4"/>
      <x:c r="H28" s="4"/>
      <x:c r="I28" s="4"/>
      <x:c r="J28" s="1"/>
      <x:c r="K28" s="1"/>
      <x:c r="L28" s="1"/>
    </x:row>
    <x:row r="29" ht="22" customHeight="1">
      <x:c r="A29" s="1"/>
      <x:c r="B29" s="1"/>
      <x:c r="C29" s="1" t="str">
        <x:v>S02</x:v>
      </x:c>
      <x:c r="D29" s="4" t="str">
        <x:v>DART / 2026-08-14</x:v>
      </x:c>
      <x:c r="E29" s="4" t="str">
        <x:v>2026 반기 별도 주석</x:v>
      </x:c>
      <x:c r="F29" s="4" t="str">
        <x:v>https://dart.fss.or.kr/report/viewer.do?rcpNo=20260814000445&amp;dcmNo=11527283&amp;eleId=26&amp;offset=367053&amp;length=999375&amp;dtd=dart4.xsd</x:v>
      </x:c>
      <x:c r="G29" s="4"/>
      <x:c r="H29" s="4"/>
      <x:c r="I29" s="4"/>
      <x:c r="J29" s="1"/>
      <x:c r="K29" s="1"/>
      <x:c r="L29" s="1"/>
    </x:row>
    <x:row r="30" ht="22" customHeight="1">
      <x:c r="A30" s="1"/>
      <x:c r="B30" s="1"/>
      <x:c r="C30" s="1" t="str">
        <x:v>S03</x:v>
      </x:c>
      <x:c r="D30" s="4" t="str">
        <x:v>DART / 2026-08-14</x:v>
      </x:c>
      <x:c r="E30" s="4" t="str">
        <x:v>주요 제품 및 서비스</x:v>
      </x:c>
      <x:c r="F30" s="4" t="str">
        <x:v>https://dart.fss.or.kr/report/viewer.do?rcpNo=20260814000445&amp;dcmNo=11527283&amp;eleId=11&amp;offset=121311&amp;length=8405&amp;dtd=dart4.xsd</x:v>
      </x:c>
      <x:c r="G30" s="4"/>
      <x:c r="H30" s="4"/>
      <x:c r="I30" s="4"/>
      <x:c r="J30" s="1"/>
      <x:c r="K30" s="1"/>
      <x:c r="L30" s="1"/>
    </x:row>
    <x:row r="31" ht="22" customHeight="1">
      <x:c r="A31" s="1"/>
      <x:c r="B31" s="1"/>
      <x:c r="C31" s="1" t="str">
        <x:v>S04</x:v>
      </x:c>
      <x:c r="D31" s="4" t="str">
        <x:v>DART/KIND / 2026-03-18</x:v>
      </x:c>
      <x:c r="E31" s="4" t="str">
        <x:v>2025 사업보고서</x:v>
      </x:c>
      <x:c r="F31" s="4" t="str">
        <x:v>https://kind.krx.co.kr/external/2026/03/18/000195/20260318000896/11011.htm</x:v>
      </x:c>
      <x:c r="G31" s="4"/>
      <x:c r="H31" s="4"/>
      <x:c r="I31" s="4"/>
      <x:c r="J31" s="1"/>
      <x:c r="K31" s="1"/>
      <x:c r="L31" s="1"/>
    </x:row>
    <x:row r="32" ht="22" customHeight="1">
      <x:c r="A32" s="1"/>
      <x:c r="B32" s="1"/>
      <x:c r="C32" s="1" t="str">
        <x:v>S05</x:v>
      </x:c>
      <x:c r="D32" s="4" t="str">
        <x:v>DART / 2026-08-14</x:v>
      </x:c>
      <x:c r="E32" s="4" t="str">
        <x:v>원재료 및 생산설비</x:v>
      </x:c>
      <x:c r="F32" s="4" t="str">
        <x:v>https://dart.fss.or.kr/report/viewer.do?rcpNo=20260814000445&amp;dcmNo=11527283&amp;eleId=12&amp;offset=129720&amp;length=23495&amp;dtd=dart4.xsd</x:v>
      </x:c>
      <x:c r="G32" s="4"/>
      <x:c r="H32" s="4"/>
      <x:c r="I32" s="4"/>
      <x:c r="J32" s="1"/>
      <x:c r="K32" s="1"/>
      <x:c r="L32" s="1"/>
    </x:row>
    <x:row r="33" ht="22" customHeight="1">
      <x:c r="A33" s="1"/>
      <x:c r="B33" s="1"/>
      <x:c r="C33" s="1" t="str">
        <x:v>S06</x:v>
      </x:c>
      <x:c r="D33" s="4" t="str">
        <x:v>DART / 2026-08-14</x:v>
      </x:c>
      <x:c r="E33" s="4" t="str">
        <x:v>매출 및 수주상황</x:v>
      </x:c>
      <x:c r="F33" s="4" t="str">
        <x:v>https://dart.fss.or.kr/report/viewer.do?rcpNo=20260814000445&amp;dcmNo=11527283&amp;eleId=13&amp;offset=153219&amp;length=14538&amp;dtd=dart4.xsd</x:v>
      </x:c>
      <x:c r="G33" s="4"/>
      <x:c r="H33" s="4"/>
      <x:c r="I33" s="4"/>
      <x:c r="J33" s="1"/>
      <x:c r="K33" s="1"/>
      <x:c r="L33" s="1"/>
    </x:row>
    <x:row r="34" ht="22" customHeight="1">
      <x:c r="A34" s="1"/>
      <x:c r="B34" s="1"/>
      <x:c r="C34" s="1" t="str">
        <x:v>S07</x:v>
      </x:c>
      <x:c r="D34" s="4" t="str">
        <x:v>DART / 2026-08-14</x:v>
      </x:c>
      <x:c r="E34" s="4" t="str">
        <x:v>주식의 총수</x:v>
      </x:c>
      <x:c r="F34" s="4" t="str">
        <x:v>https://dart.fss.or.kr/report/viewer.do?rcpNo=20260814000445&amp;dcmNo=11527283&amp;eleId=7&amp;offset=56951&amp;length=51718&amp;dtd=dart4.xsd</x:v>
      </x:c>
      <x:c r="G34" s="4"/>
      <x:c r="H34" s="4"/>
      <x:c r="I34" s="4"/>
      <x:c r="J34" s="1"/>
      <x:c r="K34" s="1"/>
      <x:c r="L34" s="1"/>
    </x:row>
    <x:row r="35" ht="22" customHeight="1">
      <x:c r="A35" s="1"/>
      <x:c r="B35" s="1"/>
      <x:c r="C35" s="1" t="str">
        <x:v>S08</x:v>
      </x:c>
      <x:c r="D35" s="4" t="str">
        <x:v>DART / 2026-08-14</x:v>
      </x:c>
      <x:c r="E35" s="4" t="str">
        <x:v>주요 고객과 부문 보고</x:v>
      </x:c>
      <x:c r="F35" s="4" t="str">
        <x:v>https://dart.fss.or.kr/report/viewer.do?rcpNo=20260814000445&amp;dcmNo=11527283&amp;eleId=61&amp;offset=1352129&amp;length=14329&amp;dtd=dart4.xsd</x:v>
      </x:c>
      <x:c r="G35" s="4"/>
      <x:c r="H35" s="4"/>
      <x:c r="I35" s="4"/>
      <x:c r="J35" s="1"/>
      <x:c r="K35" s="1"/>
      <x:c r="L35" s="1"/>
    </x:row>
    <x:row r="36" ht="22" customHeight="1">
      <x:c r="A36" s="1"/>
      <x:c r="B36" s="1"/>
      <x:c r="C36" s="1" t="str">
        <x:v>S09</x:v>
      </x:c>
      <x:c r="D36" s="4" t="str">
        <x:v>DART / 2026-08-14</x:v>
      </x:c>
      <x:c r="E36" s="4" t="str">
        <x:v>배당에 관한 사항</x:v>
      </x:c>
      <x:c r="F36" s="4" t="str">
        <x:v>https://dart.fss.or.kr/report/viewer.do?rcpNo=20260814000445&amp;dcmNo=11527283&amp;eleId=62&amp;offset=1366458&amp;length=20300&amp;dtd=dart4.xsd</x:v>
      </x:c>
      <x:c r="G36" s="4"/>
      <x:c r="H36" s="4"/>
      <x:c r="I36" s="4"/>
      <x:c r="J36" s="1"/>
      <x:c r="K36" s="1"/>
      <x:c r="L36" s="1"/>
    </x:row>
    <x:row r="37" ht="22" customHeight="1">
      <x:c r="A37" s="1"/>
      <x:c r="B37" s="1"/>
      <x:c r="C37" s="1" t="str">
        <x:v>S10</x:v>
      </x:c>
      <x:c r="D37" s="4" t="str">
        <x:v>DART / 2026-08-14</x:v>
      </x:c>
      <x:c r="E37" s="4" t="str">
        <x:v>주요 계약 및 연구개발</x:v>
      </x:c>
      <x:c r="F37" s="4" t="str">
        <x:v>https://dart.fss.or.kr/report/viewer.do?rcpNo=20260814000445&amp;dcmNo=11527283&amp;eleId=15&amp;offset=185281&amp;length=49564&amp;dtd=dart4.xsd</x:v>
      </x:c>
      <x:c r="G37" s="4"/>
      <x:c r="H37" s="4"/>
      <x:c r="I37" s="4"/>
      <x:c r="J37" s="1"/>
      <x:c r="K37" s="1"/>
      <x:c r="L37" s="1"/>
    </x:row>
    <x:row r="38" ht="22" customHeight="1">
      <x:c r="A38" s="1"/>
      <x:c r="B38" s="1"/>
      <x:c r="C38" s="1" t="str">
        <x:v>S11</x:v>
      </x:c>
      <x:c r="D38" s="4" t="str">
        <x:v>DART/KRX / 2026-03-26</x:v>
      </x:c>
      <x:c r="E38" s="4" t="str">
        <x:v>기업가치 제고 계획</x:v>
      </x:c>
      <x:c r="F38" s="4" t="str">
        <x:v>https://dart.fss.or.kr/report/viewer.do?rcpNo=20260326900771&amp;dcmNo=11181210&amp;eleId=0&amp;offset=0&amp;length=0&amp;dtd=HTML</x:v>
      </x:c>
      <x:c r="G38" s="4"/>
      <x:c r="H38" s="4"/>
      <x:c r="I38" s="4"/>
      <x:c r="J38" s="1"/>
      <x:c r="K38" s="1"/>
      <x:c r="L38" s="1"/>
    </x:row>
    <x:row r="39" ht="22" customHeight="1">
      <x:c r="A39" s="1"/>
      <x:c r="B39" s="1"/>
      <x:c r="C39" s="1" t="str">
        <x:v>P01</x:v>
      </x:c>
      <x:c r="D39" s="4" t="str">
        <x:v>DART/KIND / 2026-03-18</x:v>
      </x:c>
      <x:c r="E39" s="4" t="str">
        <x:v>ISC 2025 사업보고서</x:v>
      </x:c>
      <x:c r="F39" s="4" t="str">
        <x:v>https://kind.krx.co.kr/external/2026/03/18/000082/20260318000201/11011.htm</x:v>
      </x:c>
      <x:c r="G39" s="4"/>
      <x:c r="H39" s="4"/>
      <x:c r="I39" s="4"/>
      <x:c r="J39" s="1"/>
      <x:c r="K39" s="1"/>
      <x:c r="L39" s="1"/>
    </x:row>
    <x:row r="40" ht="22" customHeight="1">
      <x:c r="A40" s="1"/>
      <x:c r="B40" s="1"/>
      <x:c r="C40" s="1" t="str">
        <x:v>P02</x:v>
      </x:c>
      <x:c r="D40" s="4" t="str">
        <x:v>DART / 2026-08-14</x:v>
      </x:c>
      <x:c r="E40" s="4" t="str">
        <x:v>ISC 2026H1 연결 재무제표</x:v>
      </x:c>
      <x:c r="F40" s="4" t="str">
        <x:v>https://dart.fss.or.kr/report/viewer.do?rcpNo=20260814000114&amp;dcmNo=11526636&amp;eleId=19&amp;offset=169619&amp;length=170841&amp;dtd=dart4.xsd</x:v>
      </x:c>
      <x:c r="G40" s="4"/>
      <x:c r="H40" s="4"/>
      <x:c r="I40" s="4"/>
      <x:c r="J40" s="1"/>
      <x:c r="K40" s="1"/>
      <x:c r="L40" s="1"/>
    </x:row>
    <x:row r="41" ht="22" customHeight="1">
      <x:c r="A41" s="1"/>
      <x:c r="B41" s="1"/>
      <x:c r="C41" s="1" t="str">
        <x:v>P03</x:v>
      </x:c>
      <x:c r="D41" s="4" t="str">
        <x:v>ISC / 2026-07~08</x:v>
      </x:c>
      <x:c r="E41" s="4" t="str">
        <x:v>ISC 2Q26 공식 IR</x:v>
      </x:c>
      <x:c r="F41" s="4" t="str">
        <x:v>https://kind.krx.co.kr/external/dst/irReference/18946/2Q%202026%20%EC%8B%A4%EC%A0%81%EB%B0%9C%ED%91%9C_KOR.pdf</x:v>
      </x:c>
      <x:c r="G41" s="4"/>
      <x:c r="H41" s="4"/>
      <x:c r="I41" s="4"/>
      <x:c r="J41" s="1"/>
      <x:c r="K41" s="1"/>
      <x:c r="L41" s="1"/>
    </x:row>
    <x:row r="42" ht="22" customHeight="1">
      <x:c r="A42" s="1"/>
      <x:c r="B42" s="1"/>
      <x:c r="C42" s="1" t="str">
        <x:v>P04</x:v>
      </x:c>
      <x:c r="D42" s="4" t="str">
        <x:v>Cohu / 2026-07-30</x:v>
      </x:c>
      <x:c r="E42" s="4" t="str">
        <x:v>Cohu 실적·사업 자료</x:v>
      </x:c>
      <x:c r="F42" s="4" t="str">
        <x:v>https://ir.cohu.com/news-events/press-releases</x:v>
      </x:c>
      <x:c r="G42" s="4"/>
      <x:c r="H42" s="4"/>
      <x:c r="I42" s="4"/>
      <x:c r="J42" s="1"/>
      <x:c r="K42" s="1"/>
      <x:c r="L42" s="1"/>
    </x:row>
    <x:row r="43" ht="22" customHeight="1">
      <x:c r="A43" s="1"/>
      <x:c r="B43" s="1"/>
      <x:c r="C43" s="1" t="str">
        <x:v>P05</x:v>
      </x:c>
      <x:c r="D43" s="4" t="str">
        <x:v>Yamaichi / 확인 2026-10-19</x:v>
      </x:c>
      <x:c r="E43" s="4" t="str">
        <x:v>Yamaichi 테스트 솔루션</x:v>
      </x:c>
      <x:c r="F43" s="4" t="str">
        <x:v>https://www.yamaichi.co.jp/en/core/testsolution/</x:v>
      </x:c>
      <x:c r="G43" s="4"/>
      <x:c r="H43" s="4"/>
      <x:c r="I43" s="4"/>
      <x:c r="J43" s="1"/>
      <x:c r="K43" s="1"/>
      <x:c r="L43" s="1"/>
    </x:row>
    <x:row r="44" ht="22" customHeight="1">
      <x:c r="A44" s="1"/>
      <x:c r="B44" s="1"/>
      <x:c r="C44" s="1" t="str">
        <x:v>P06</x:v>
      </x:c>
      <x:c r="D44" s="4" t="str">
        <x:v>Yamaichi / 확인 2026-10-19</x:v>
      </x:c>
      <x:c r="E44" s="4" t="str">
        <x:v>Yamaichi IR</x:v>
      </x:c>
      <x:c r="F44" s="4" t="str">
        <x:v>https://www.yamaichi.co.jp/en/ir/</x:v>
      </x:c>
      <x:c r="G44" s="4"/>
      <x:c r="H44" s="4"/>
      <x:c r="I44" s="4"/>
      <x:c r="J44" s="1"/>
      <x:c r="K44" s="1"/>
      <x:c r="L44" s="1"/>
    </x:row>
    <x:row r="45" ht="22" customHeight="1">
      <x:c r="A45" s="1"/>
      <x:c r="B45" s="1"/>
      <x:c r="C45" s="1" t="str">
        <x:v>P07</x:v>
      </x:c>
      <x:c r="D45" s="4" t="str">
        <x:v>DART / 2026-08-14</x:v>
      </x:c>
      <x:c r="E45" s="4" t="str">
        <x:v>ISC H1 주식의 총수</x:v>
      </x:c>
      <x:c r="F45" s="4" t="str">
        <x:v>https://dart.fss.or.kr/report/viewer.do?rcpNo=20260814000114&amp;dcmNo=11526636&amp;eleId=7&amp;offset=29971&amp;length=9347&amp;dtd=dart4.xsd</x:v>
      </x:c>
      <x:c r="G45" s="4"/>
      <x:c r="H45" s="4"/>
      <x:c r="I45" s="4"/>
      <x:c r="J45" s="1"/>
      <x:c r="K45" s="1"/>
      <x:c r="L45" s="1"/>
    </x:row>
    <x:row r="46" ht="22" customHeight="1">
      <x:c r="A46" s="1"/>
      <x:c r="B46" s="1"/>
      <x:c r="C46" s="1" t="str">
        <x:v>P08</x:v>
      </x:c>
      <x:c r="D46" s="4" t="str">
        <x:v>DART/KRX / 2026-09-28</x:v>
      </x:c>
      <x:c r="E46" s="4" t="str">
        <x:v>ISC 2026-09-28 타법인 취득결정</x:v>
      </x:c>
      <x:c r="F46" s="4" t="str">
        <x:v>https://dart.fss.or.kr/report/viewer.do?rcpNo=20260928900382&amp;dcmNo=11592309&amp;eleId=0&amp;offset=0&amp;length=0&amp;dtd=HTML</x:v>
      </x:c>
      <x:c r="G46" s="4"/>
      <x:c r="H46" s="4"/>
      <x:c r="I46" s="4"/>
      <x:c r="J46" s="1"/>
      <x:c r="K46" s="1"/>
      <x:c r="L46" s="1"/>
    </x:row>
    <x:row r="47" ht="22" customHeight="1">
      <x:c r="A47" s="1"/>
      <x:c r="B47" s="1"/>
      <x:c r="C47" s="1" t="str">
        <x:v>R01</x:v>
      </x:c>
      <x:c r="D47" s="4" t="str">
        <x:v>한국경제 / 2026-08-18</x:v>
      </x:c>
      <x:c r="E47" s="4" t="str">
        <x:v>생산 차질 관련 증권사 보도</x:v>
      </x:c>
      <x:c r="F47" s="4" t="str">
        <x:v>https://www.hankyung.com/article/2026081858766</x:v>
      </x:c>
      <x:c r="G47" s="4"/>
      <x:c r="H47" s="4"/>
      <x:c r="I47" s="4"/>
      <x:c r="J47" s="1"/>
      <x:c r="K47" s="1"/>
      <x:c r="L47" s="1"/>
    </x:row>
    <x:row r="48" ht="22" customHeight="1">
      <x:c r="A48" s="1"/>
      <x:c r="B48" s="1"/>
      <x:c r="C48" s="1" t="str">
        <x:v>M01</x:v>
      </x:c>
      <x:c r="D48" s="4" t="str">
        <x:v>NYU Stern / 확인 2026-10-19</x:v>
      </x:c>
      <x:c r="E48" s="4" t="str">
        <x:v>성장·ROE·배당과 PER</x:v>
      </x:c>
      <x:c r="F48" s="4" t="str">
        <x:v>https://pages.stern.nyu.edu/~adamodar/New_Home_Page/invfables/peratio.htm</x:v>
      </x:c>
      <x:c r="G48" s="4"/>
      <x:c r="H48" s="4"/>
      <x:c r="I48" s="4"/>
      <x:c r="J48" s="1"/>
      <x:c r="K48" s="1"/>
      <x:c r="L48" s="1"/>
    </x:row>
    <x:row r="49" ht="22" customHeight="1">
      <x:c r="A49" s="1"/>
      <x:c r="B49" s="1"/>
      <x:c r="C49" s="1" t="str">
        <x:v>M02</x:v>
      </x:c>
      <x:c r="D49" s="4" t="str">
        <x:v>NYU Stern / 확인 2026-10-19</x:v>
      </x:c>
      <x:c r="E49" s="4" t="str">
        <x:v>성숙기 재투자와 초과수익</x:v>
      </x:c>
      <x:c r="F49" s="4" t="str">
        <x:v>https://pages.stern.nyu.edu/~adamodar/New_Home_Page/valquestions/termvalueexreturns.htm</x:v>
      </x:c>
      <x:c r="G49" s="4"/>
      <x:c r="H49" s="4"/>
      <x:c r="I49" s="4"/>
      <x:c r="J49" s="1"/>
      <x:c r="K49" s="1"/>
      <x:c r="L49" s="1"/>
    </x:row>
    <x:row r="50" ht="22" customHeight="1">
      <x:c r="A50" s="1"/>
      <x:c r="B50" s="1"/>
      <x:c r="C50" s="1" t="str">
        <x:v>PX01</x:v>
      </x:c>
      <x:c r="D50" s="4" t="str">
        <x:v>NAVER / 확인 2026-10-19</x:v>
      </x:c>
      <x:c r="E50" s="4" t="str">
        <x:v>2026-10-16 일별 참고가격</x:v>
      </x:c>
      <x:c r="F50" s="4" t="str">
        <x:v>https://api.finance.naver.com/siseJson.naver?symbol=058470&amp;requestType=1&amp;startTime=20261016&amp;endTime=20261016&amp;timeframe=day</x:v>
      </x:c>
      <x:c r="G50" s="4"/>
      <x:c r="H50" s="4"/>
      <x:c r="I50" s="4"/>
      <x:c r="J50" s="1"/>
      <x:c r="K50" s="1"/>
      <x:c r="L50" s="1"/>
    </x:row>
    <x:row r="51" ht="22" customHeight="1">
      <x:c r="A51" s="1"/>
      <x:c r="B51" s="1"/>
      <x:c r="C51" s="1" t="str">
        <x:v>PX02</x:v>
      </x:c>
      <x:c r="D51" s="4" t="str">
        <x:v>NAVER / 확인 2026-10-19</x:v>
      </x:c>
      <x:c r="E51" s="4" t="str">
        <x:v>ISC 같은 날짜 참고가격</x:v>
      </x:c>
      <x:c r="F51" s="4" t="str">
        <x:v>https://api.finance.naver.com/siseJson.naver?symbol=095340&amp;requestType=1&amp;startTime=20261016&amp;endTime=20261016&amp;timeframe=day</x:v>
      </x:c>
      <x:c r="G51" s="4"/>
      <x:c r="H51" s="4"/>
      <x:c r="I51" s="4"/>
      <x:c r="J51" s="1"/>
      <x:c r="K51" s="1"/>
      <x:c r="L51" s="1"/>
    </x:row>
    <x:row r="52" ht="22" customHeight="1">
      <x:c r="A52" s="1"/>
      <x:c r="B52" s="1"/>
      <x:c r="C52" s="1" t="str">
        <x:v>S12</x:v>
      </x:c>
      <x:c r="D52" s="4" t="str">
        <x:v>DART/KRX / 2026-08-21</x:v>
      </x:c>
      <x:c r="E52" s="4" t="str">
        <x:v>2026-08-25 IR 개최 공시</x:v>
      </x:c>
      <x:c r="F52" s="4" t="str">
        <x:v>https://dart.fss.or.kr/report/viewer.do?rcpNo=20260821900135&amp;dcmNo=11544786&amp;eleId=0&amp;offset=0&amp;length=0&amp;dtd=HTML</x:v>
      </x:c>
      <x:c r="G52" s="4"/>
      <x:c r="H52" s="4"/>
      <x:c r="I52" s="4"/>
      <x:c r="J52" s="1"/>
      <x:c r="K52" s="1"/>
      <x:c r="L52" s="1"/>
    </x:row>
    <x:row r="53" ht="22" customHeight="1">
      <x:c r="A53" s="1"/>
      <x:c r="B53" s="1"/>
      <x:c r="C53" s="1"/>
      <x:c r="D53" s="4"/>
      <x:c r="E53" s="4"/>
      <x:c r="F53" s="4"/>
      <x:c r="G53" s="4"/>
      <x:c r="H53" s="4"/>
      <x:c r="I53" s="4"/>
      <x:c r="J53" s="1"/>
      <x:c r="K53" s="1"/>
      <x:c r="L53" s="1"/>
    </x:row>
    <x:row r="54" ht="22" customHeight="1">
      <x:c r="A54" s="1"/>
      <x:c r="B54" s="1"/>
      <x:c r="C54" s="1"/>
      <x:c r="D54" s="4"/>
      <x:c r="E54" s="4"/>
      <x:c r="F54" s="4"/>
      <x:c r="G54" s="4"/>
      <x:c r="H54" s="4"/>
      <x:c r="I54" s="4"/>
      <x:c r="J54" s="1"/>
      <x:c r="K54" s="1"/>
      <x:c r="L54" s="1"/>
    </x:row>
    <x:row r="55" ht="22" customHeight="1">
      <x:c r="A55" s="1"/>
      <x:c r="B55" s="1"/>
      <x:c r="C55" s="1"/>
      <x:c r="D55" s="4"/>
      <x:c r="E55" s="4"/>
      <x:c r="F55" s="4"/>
      <x:c r="G55" s="4"/>
      <x:c r="H55" s="4"/>
      <x:c r="I55" s="4"/>
      <x:c r="J55" s="1"/>
      <x:c r="K55" s="1"/>
      <x:c r="L55" s="1"/>
    </x:row>
    <x:row r="56" ht="22" customHeight="1">
      <x:c r="A56" s="1"/>
      <x:c r="B56" s="1"/>
      <x:c r="C56" s="1"/>
      <x:c r="D56" s="4"/>
      <x:c r="E56" s="4"/>
      <x:c r="F56" s="4"/>
      <x:c r="G56" s="4"/>
      <x:c r="H56" s="4"/>
      <x:c r="I56" s="4"/>
      <x:c r="J56" s="1"/>
      <x:c r="K56" s="1"/>
      <x:c r="L56" s="1"/>
    </x:row>
    <x:row r="57" ht="22" customHeight="1">
      <x:c r="A57" s="1"/>
      <x:c r="B57" s="1"/>
      <x:c r="C57" s="1"/>
      <x:c r="D57" s="4"/>
      <x:c r="E57" s="4"/>
      <x:c r="F57" s="4"/>
      <x:c r="G57" s="4"/>
      <x:c r="H57" s="4"/>
      <x:c r="I57" s="4"/>
      <x:c r="J57" s="1"/>
      <x:c r="K57" s="1"/>
      <x:c r="L57" s="1"/>
    </x:row>
    <x:row r="58" ht="22" customHeight="1">
      <x:c r="A58" s="1"/>
      <x:c r="B58" s="1"/>
      <x:c r="C58" s="1"/>
      <x:c r="D58" s="4"/>
      <x:c r="E58" s="4"/>
      <x:c r="F58" s="4"/>
      <x:c r="G58" s="4"/>
      <x:c r="H58" s="4"/>
      <x:c r="I58" s="4"/>
      <x:c r="J58" s="1"/>
      <x:c r="K58" s="1"/>
      <x:c r="L58" s="1"/>
    </x:row>
    <x:row r="59" ht="22" customHeight="1">
      <x:c r="A59" s="1"/>
      <x:c r="B59" s="1"/>
      <x:c r="C59" s="1"/>
      <x:c r="D59" s="4"/>
      <x:c r="E59" s="4"/>
      <x:c r="F59" s="4"/>
      <x:c r="G59" s="4"/>
      <x:c r="H59" s="4"/>
      <x:c r="I59" s="4"/>
      <x:c r="J59" s="1"/>
      <x:c r="K59" s="1"/>
      <x:c r="L59" s="1"/>
    </x:row>
    <x:row r="60" ht="22" customHeight="1">
      <x:c r="A60" s="1"/>
      <x:c r="B60" s="1"/>
      <x:c r="C60" s="1" t="str">
        <x:v>Test socket H1 bn</x:v>
      </x:c>
      <x:c r="D60" s="7" t="n">
        <x:v>166.384497</x:v>
      </x:c>
      <x:c r="E60" s="4" t="str">
        <x:v>S03</x:v>
      </x:c>
      <x:c r="F60" s="4"/>
      <x:c r="G60" s="4"/>
      <x:c r="H60" s="4"/>
      <x:c r="I60" s="4"/>
      <x:c r="J60" s="1"/>
      <x:c r="K60" s="1"/>
      <x:c r="L60" s="1"/>
    </x:row>
    <x:row r="61" ht="22" customHeight="1">
      <x:c r="A61" s="1"/>
      <x:c r="B61" s="1"/>
      <x:c r="C61" s="1" t="str">
        <x:v>Leeno pin H1 bn</x:v>
      </x:c>
      <x:c r="D61" s="7" t="n">
        <x:v>56.486659</x:v>
      </x:c>
      <x:c r="E61" s="4" t="str">
        <x:v>S03</x:v>
      </x:c>
      <x:c r="F61" s="4"/>
      <x:c r="G61" s="4"/>
      <x:c r="H61" s="4"/>
      <x:c r="I61" s="4"/>
      <x:c r="J61" s="1"/>
      <x:c r="K61" s="1"/>
      <x:c r="L61" s="1"/>
    </x:row>
    <x:row r="62" ht="22" customHeight="1">
      <x:c r="A62" s="1"/>
      <x:c r="B62" s="1"/>
      <x:c r="C62" s="1" t="str">
        <x:v>Medical incl. related goods H1 bn</x:v>
      </x:c>
      <x:c r="D62" s="7" t="n">
        <x:v>20.03066</x:v>
      </x:c>
      <x:c r="E62" s="4" t="str">
        <x:v>S03</x:v>
      </x:c>
      <x:c r="F62" s="4"/>
      <x:c r="G62" s="4"/>
      <x:c r="H62" s="4"/>
      <x:c r="I62" s="4"/>
      <x:c r="J62" s="1"/>
      <x:c r="K62" s="1"/>
      <x:c r="L62" s="1"/>
    </x:row>
    <x:row r="63" ht="22" customHeight="1">
      <x:c r="A63" s="1"/>
      <x:c r="B63" s="1"/>
      <x:c r="C63" s="1" t="str">
        <x:v>Other goods H1 bn</x:v>
      </x:c>
      <x:c r="D63" s="7" t="n">
        <x:v>0.056787</x:v>
      </x:c>
      <x:c r="E63" s="4" t="str">
        <x:v>S03</x:v>
      </x:c>
      <x:c r="F63" s="4"/>
      <x:c r="G63" s="4"/>
      <x:c r="H63" s="4"/>
      <x:c r="I63" s="4"/>
      <x:c r="J63" s="1"/>
      <x:c r="K63" s="1"/>
      <x:c r="L63" s="1"/>
    </x:row>
    <x:row r="64" ht="22" customHeight="1">
      <x:c r="A64" s="1"/>
      <x:c r="B64" s="1"/>
      <x:c r="C64" s="1"/>
      <x:c r="D64" s="7"/>
      <x:c r="E64" s="4"/>
      <x:c r="F64" s="4"/>
      <x:c r="G64" s="4"/>
      <x:c r="H64" s="4"/>
      <x:c r="I64" s="4"/>
      <x:c r="J64" s="1"/>
      <x:c r="K64" s="1"/>
      <x:c r="L64" s="1"/>
    </x:row>
    <x:row r="65" ht="22" customHeight="1">
      <x:c r="A65" s="1"/>
      <x:c r="B65" s="1"/>
      <x:c r="C65" s="1" t="str">
        <x:v>2025 actual revenue bn</x:v>
      </x:c>
      <x:c r="D65" s="7" t="n">
        <x:v>372.534084608</x:v>
      </x:c>
      <x:c r="E65" s="4" t="str">
        <x:v>S04</x:v>
      </x:c>
      <x:c r="F65" s="4"/>
      <x:c r="G65" s="4"/>
      <x:c r="H65" s="4"/>
      <x:c r="I65" s="4"/>
      <x:c r="J65" s="1"/>
      <x:c r="K65" s="1"/>
      <x:c r="L65" s="1"/>
    </x:row>
    <x:row r="66" ht="22" customHeight="1">
      <x:c r="A66" s="1"/>
      <x:c r="B66" s="1"/>
      <x:c r="C66" s="1" t="str">
        <x:v>H1 customer A / total sales</x:v>
      </x:c>
      <x:c r="D66" s="7" t="n">
        <x:v>0.23823236168394887</x:v>
      </x:c>
      <x:c r="E66" s="4" t="str">
        <x:v>S08</x:v>
      </x:c>
      <x:c r="F66" s="4"/>
      <x:c r="G66" s="4"/>
      <x:c r="H66" s="4"/>
      <x:c r="I66" s="4"/>
      <x:c r="J66" s="1"/>
      <x:c r="K66" s="1"/>
      <x:c r="L66" s="1"/>
    </x:row>
    <x:row r="67" ht="22" customHeight="1">
      <x:c r="A67" s="1"/>
      <x:c r="B67" s="1"/>
      <x:c r="C67" s="1" t="str">
        <x:v>ELS carrying value bn</x:v>
      </x:c>
      <x:c r="D67" s="7" t="n">
        <x:v>20.329235</x:v>
      </x:c>
      <x:c r="E67" s="4" t="str">
        <x:v>S02</x:v>
      </x:c>
      <x:c r="F67" s="4"/>
      <x:c r="G67" s="4"/>
      <x:c r="H67" s="4"/>
      <x:c r="I67" s="4"/>
      <x:c r="J67" s="1"/>
      <x:c r="K67" s="1"/>
      <x:c r="L67" s="1"/>
    </x:row>
    <x:row r="68" ht="22" customHeight="1">
      <x:c r="A68" s="1"/>
      <x:c r="B68" s="1"/>
      <x:c r="C68" s="1" t="str">
        <x:v>Project total budget bn</x:v>
      </x:c>
      <x:c r="D68" s="7" t="n">
        <x:v>97.182</x:v>
      </x:c>
      <x:c r="E68" s="4" t="str">
        <x:v>S05</x:v>
      </x:c>
      <x:c r="F68" s="4"/>
      <x:c r="G68" s="4"/>
      <x:c r="H68" s="4"/>
      <x:c r="I68" s="4"/>
      <x:c r="J68" s="1"/>
      <x:c r="K68" s="1"/>
      <x:c r="L68" s="1"/>
    </x:row>
    <x:row r="69" ht="22" customHeight="1">
      <x:c r="A69" s="1"/>
      <x:c r="B69" s="1"/>
      <x:c r="C69" s="1" t="str">
        <x:v>Project cumulative spent bn</x:v>
      </x:c>
      <x:c r="D69" s="7" t="n">
        <x:v>78.553778109</x:v>
      </x:c>
      <x:c r="E69" s="4" t="str">
        <x:v>S05</x:v>
      </x:c>
      <x:c r="F69" s="4"/>
      <x:c r="G69" s="4"/>
      <x:c r="H69" s="4"/>
      <x:c r="I69" s="4"/>
      <x:c r="J69" s="1"/>
      <x:c r="K69" s="1"/>
      <x:c r="L69" s="1"/>
    </x:row>
    <x:row r="70" ht="22" customHeight="1">
      <x:c r="A70" s="1"/>
      <x:c r="B70" s="1"/>
      <x:c r="C70" s="1"/>
      <x:c r="D70" s="4"/>
      <x:c r="E70" s="4"/>
      <x:c r="F70" s="4"/>
      <x:c r="G70" s="4"/>
      <x:c r="H70" s="4"/>
      <x:c r="I70" s="4"/>
      <x:c r="J70" s="1"/>
      <x:c r="K70" s="1"/>
      <x:c r="L70" s="1"/>
    </x:row>
    <x:row r="71" ht="22" customHeight="1">
      <x:c r="A71" s="1"/>
      <x:c r="B71" s="1"/>
      <x:c r="C71" s="1"/>
      <x:c r="D71" s="4"/>
      <x:c r="E71" s="4"/>
      <x:c r="F71" s="4"/>
      <x:c r="G71" s="4"/>
      <x:c r="H71" s="4"/>
      <x:c r="I71" s="4"/>
      <x:c r="J71" s="1"/>
      <x:c r="K71" s="1"/>
      <x:c r="L71" s="1"/>
    </x:row>
    <x:row r="72" ht="22" customHeight="1">
      <x:c r="A72" s="1"/>
      <x:c r="B72" s="1"/>
      <x:c r="C72" s="1"/>
      <x:c r="D72" s="4"/>
      <x:c r="E72" s="4"/>
      <x:c r="F72" s="4"/>
      <x:c r="G72" s="4"/>
      <x:c r="H72" s="4"/>
      <x:c r="I72" s="4"/>
      <x:c r="J72" s="1"/>
      <x:c r="K72" s="1"/>
      <x:c r="L72" s="1"/>
    </x:row>
    <x:row r="73" ht="22" customHeight="1">
      <x:c r="A73" s="1"/>
      <x:c r="B73" s="1"/>
      <x:c r="C73" s="1"/>
      <x:c r="D73" s="4"/>
      <x:c r="E73" s="4"/>
      <x:c r="F73" s="4"/>
      <x:c r="G73" s="4"/>
      <x:c r="H73" s="4"/>
      <x:c r="I73" s="4"/>
      <x:c r="J73" s="1"/>
      <x:c r="K73" s="1"/>
      <x:c r="L73" s="1"/>
    </x:row>
    <x:row r="74" ht="22" customHeight="1">
      <x:c r="A74" s="1"/>
      <x:c r="B74" s="1"/>
      <x:c r="C74" s="1"/>
      <x:c r="D74" s="4"/>
      <x:c r="E74" s="4"/>
      <x:c r="F74" s="4"/>
      <x:c r="G74" s="4"/>
      <x:c r="H74" s="4"/>
      <x:c r="I74" s="4"/>
      <x:c r="J74" s="1"/>
      <x:c r="K74" s="1"/>
      <x:c r="L74" s="1"/>
    </x:row>
    <x:row r="75" ht="22" customHeight="1">
      <x:c r="A75" s="1"/>
      <x:c r="B75" s="1"/>
      <x:c r="C75" s="1"/>
      <x:c r="D75" s="4"/>
      <x:c r="E75" s="4"/>
      <x:c r="F75" s="4"/>
      <x:c r="G75" s="4"/>
      <x:c r="H75" s="4"/>
      <x:c r="I75" s="4"/>
      <x:c r="J75" s="1"/>
      <x:c r="K75" s="1"/>
      <x:c r="L75" s="1"/>
    </x:row>
    <x:row r="76" ht="22" customHeight="1">
      <x:c r="A76" s="1"/>
      <x:c r="B76" s="1"/>
      <x:c r="C76" s="1"/>
      <x:c r="D76" s="4"/>
      <x:c r="E76" s="4"/>
      <x:c r="F76" s="4"/>
      <x:c r="G76" s="4"/>
      <x:c r="H76" s="4"/>
      <x:c r="I76" s="4"/>
      <x:c r="J76" s="1"/>
      <x:c r="K76" s="1"/>
      <x:c r="L76" s="1"/>
    </x:row>
    <x:row r="77" ht="22" customHeight="1">
      <x:c r="A77" s="1"/>
      <x:c r="B77" s="1"/>
      <x:c r="C77" s="1"/>
      <x:c r="D77" s="4"/>
      <x:c r="E77" s="4"/>
      <x:c r="F77" s="4"/>
      <x:c r="G77" s="4"/>
      <x:c r="H77" s="4"/>
      <x:c r="I77" s="4"/>
      <x:c r="J77" s="1"/>
      <x:c r="K77" s="1"/>
      <x:c r="L77" s="1"/>
    </x:row>
    <x:row r="78" ht="22" customHeight="1">
      <x:c r="A78" s="1"/>
      <x:c r="B78" s="1"/>
      <x:c r="C78" s="1"/>
      <x:c r="D78" s="4"/>
      <x:c r="E78" s="4"/>
      <x:c r="F78" s="4"/>
      <x:c r="G78" s="4"/>
      <x:c r="H78" s="4"/>
      <x:c r="I78" s="4"/>
      <x:c r="J78" s="1"/>
      <x:c r="K78" s="1"/>
      <x:c r="L78" s="1"/>
    </x:row>
    <x:row r="79" ht="22" customHeight="1">
      <x:c r="A79" s="1"/>
      <x:c r="B79" s="1"/>
      <x:c r="C79" s="1"/>
      <x:c r="D79" s="4"/>
      <x:c r="E79" s="4"/>
      <x:c r="F79" s="4"/>
      <x:c r="G79" s="4"/>
      <x:c r="H79" s="4"/>
      <x:c r="I79" s="4"/>
      <x:c r="J79" s="1"/>
      <x:c r="K79" s="1"/>
      <x:c r="L79" s="1"/>
    </x:row>
    <x:row r="80" ht="22" customHeight="1">
      <x:c r="A80" s="1"/>
      <x:c r="B80" s="1"/>
      <x:c r="C80" s="1"/>
      <x:c r="D80" s="4"/>
      <x:c r="E80" s="4"/>
      <x:c r="F80" s="4"/>
      <x:c r="G80" s="4"/>
      <x:c r="H80" s="4"/>
      <x:c r="I80" s="4"/>
      <x:c r="J80" s="1"/>
      <x:c r="K80" s="1"/>
      <x:c r="L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</x:sheetData>
  <x:pageMargins left="0.7" right="0.7" top="0.75" bottom="0.75" header="0.3" footer="0.3"/>
</x:worksheet>
</file>